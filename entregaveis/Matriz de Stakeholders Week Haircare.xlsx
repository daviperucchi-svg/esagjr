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Stakeholders" sheetId="2" state="visible" r:id="rId4"/>
    <sheet name="Matriz AS IS e TO BE" sheetId="3" state="visible" r:id="rId5"/>
  </sheets>
  <definedNames>
    <definedName function="false" hidden="true" localSheetId="1" name="_xlnm._FilterDatabase" vbProcedure="false">Stakeholders!$A$5:$P$25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<sst xmlns="http://schemas.openxmlformats.org/spreadsheetml/2006/main" count="161" uniqueCount="133">
  <si>
    <t xml:space="preserve">Matriz de Stakeholders da WEEK</t>
  </si>
  <si>
    <t xml:space="preserve">Estudo de viabilidade | Esag Jr. Consultoria em Administração</t>
  </si>
  <si>
    <t xml:space="preserve">O que é</t>
  </si>
  <si>
    <t xml:space="preserve">A matriz mostra quem pode influenciar o negócio da WEEK ou ser afetado por ele. Cada stakeholder recebe uma nota de poder (eixo Y) e outra de interesse (eixo X) em dois momentos: AS IS, a situação de hoje, e TO BE, a situação de que a WEEK precisa para lançar o kit.</t>
  </si>
  <si>
    <t xml:space="preserve">Por que fazer para a WEEK</t>
  </si>
  <si>
    <t xml:space="preserve">Como a WEEK ainda não entrou no mercado, quase todos os stakeholders externos ainda não conhecem a marca. O AS IS registra esse ponto de partida. O TO BE mostra quem precisa estar engajado até o lançamento e a coluna de ações diz como chegar lá, ligando cada passo à Matriz CSD.</t>
  </si>
  <si>
    <t xml:space="preserve">Como preencher</t>
  </si>
  <si>
    <t xml:space="preserve">1. Na aba Stakeholders, edite as células em azul claro, uma linha por stakeholder.</t>
  </si>
  <si>
    <t xml:space="preserve">2. Dê notas de 1 a 5 para Poder e Interesse no AS IS e no TO BE, usando a escala abaixo.</t>
  </si>
  <si>
    <t xml:space="preserve">3. Os quadrantes são calculados sozinhos e cada nome aparece na aba Matriz AS IS e TO BE.</t>
  </si>
  <si>
    <t xml:space="preserve">4. As notas desta versão são uma primeira proposta, feita a partir do contexto do projeto e do PESTALD. Revise com a equipe antes de levar à WEEK.</t>
  </si>
  <si>
    <t xml:space="preserve">Legenda</t>
  </si>
  <si>
    <t xml:space="preserve">Célula para editar</t>
  </si>
  <si>
    <t xml:space="preserve">Célula calculada, não edite</t>
  </si>
  <si>
    <t xml:space="preserve">Escala de notas</t>
  </si>
  <si>
    <t xml:space="preserve">Nota</t>
  </si>
  <si>
    <t xml:space="preserve">Poder sobre o negócio (eixo Y)</t>
  </si>
  <si>
    <t xml:space="preserve">Interesse no negócio (eixo X)</t>
  </si>
  <si>
    <t xml:space="preserve">Não interfere nas decisões da WEEK</t>
  </si>
  <si>
    <t xml:space="preserve">Não conhece ou não acompanha a WEEK</t>
  </si>
  <si>
    <t xml:space="preserve">Interfere pouco e de forma indireta</t>
  </si>
  <si>
    <t xml:space="preserve">Acompanha só quando é procurado</t>
  </si>
  <si>
    <t xml:space="preserve">Influencia decisões de uma área, como preço ou canal</t>
  </si>
  <si>
    <t xml:space="preserve">Acompanha quando é afetado</t>
  </si>
  <si>
    <t xml:space="preserve">Pode atrasar ou encarecer o lançamento</t>
  </si>
  <si>
    <t xml:space="preserve">Acompanha com frequência e tem expectativas claras</t>
  </si>
  <si>
    <t xml:space="preserve">Pode viabilizar ou impedir o lançamento</t>
  </si>
  <si>
    <t xml:space="preserve">Quer participar das decisões</t>
  </si>
  <si>
    <t xml:space="preserve">Quadrantes</t>
  </si>
  <si>
    <t xml:space="preserve">Quadrante</t>
  </si>
  <si>
    <t xml:space="preserve">Quando cai aqui</t>
  </si>
  <si>
    <t xml:space="preserve">Como agir</t>
  </si>
  <si>
    <t xml:space="preserve">Gerenciar de perto</t>
  </si>
  <si>
    <t xml:space="preserve">Poder e interesse altos</t>
  </si>
  <si>
    <t xml:space="preserve">Envolver nas decisões, com contato frequente e combinados claros</t>
  </si>
  <si>
    <t xml:space="preserve">Manter satisfeito</t>
  </si>
  <si>
    <t xml:space="preserve">Poder alto e interesse baixo</t>
  </si>
  <si>
    <t xml:space="preserve">Atender às exigências sem sobrecarregar com informação</t>
  </si>
  <si>
    <t xml:space="preserve">Manter informado</t>
  </si>
  <si>
    <t xml:space="preserve">Poder baixo e interesse alto</t>
  </si>
  <si>
    <t xml:space="preserve">Comunicar os avanços e ouvir sugestões</t>
  </si>
  <si>
    <t xml:space="preserve">Monitorar</t>
  </si>
  <si>
    <t xml:space="preserve">Poder e interesse baixos</t>
  </si>
  <si>
    <t xml:space="preserve">Acompanhar com pouco esforço e rever as notas se algo mudar</t>
  </si>
  <si>
    <t xml:space="preserve">Uma nota conta como alta quando é igual ou maior que a nota de corte, definida no topo da aba Stakeholders.</t>
  </si>
  <si>
    <t xml:space="preserve">Edite as células em azul claro. As colunas em cinza são calculadas. Notas de 1 a 5: escala na aba Como usar.</t>
  </si>
  <si>
    <t xml:space="preserve">Nota de corte: poder ou interesse é alto a partir de</t>
  </si>
  <si>
    <t xml:space="preserve">Quem é</t>
  </si>
  <si>
    <t xml:space="preserve">AS IS: hoje</t>
  </si>
  <si>
    <t xml:space="preserve">TO BE: até o lançamento</t>
  </si>
  <si>
    <t xml:space="preserve">Plano de relacionamento</t>
  </si>
  <si>
    <t xml:space="preserve">Nº</t>
  </si>
  <si>
    <t xml:space="preserve">Stakeholder</t>
  </si>
  <si>
    <t xml:space="preserve">Tipo</t>
  </si>
  <si>
    <t xml:space="preserve">Relação com a WEEK</t>
  </si>
  <si>
    <t xml:space="preserve">O que espera da WEEK</t>
  </si>
  <si>
    <t xml:space="preserve">O que a WEEK precisa dele</t>
  </si>
  <si>
    <t xml:space="preserve">Poder</t>
  </si>
  <si>
    <t xml:space="preserve">Interesse</t>
  </si>
  <si>
    <t xml:space="preserve">Ações para sair do AS IS e chegar ao TO BE</t>
  </si>
  <si>
    <t xml:space="preserve">Responsável</t>
  </si>
  <si>
    <t xml:space="preserve">Item da Matriz CSD</t>
  </si>
  <si>
    <t xml:space="preserve">Fonte ou evidência</t>
  </si>
  <si>
    <t xml:space="preserve">Fundadores da WEEK</t>
  </si>
  <si>
    <t xml:space="preserve">Fundadores</t>
  </si>
  <si>
    <t xml:space="preserve">Donos do negócio e responsáveis pela decisão de lançar o kit.</t>
  </si>
  <si>
    <t xml:space="preserve">Um estudo que diga se o negócio é viável e como lançar.</t>
  </si>
  <si>
    <t xml:space="preserve">Informações do negócio e decisão ao fim de cada fase do estudo.</t>
  </si>
  <si>
    <t xml:space="preserve">Validar com os fundadores a síntese de cada fase antes de seguir para a próxima.</t>
  </si>
  <si>
    <t xml:space="preserve">Francisco Hermes</t>
  </si>
  <si>
    <t xml:space="preserve">Matriz CSD inteira</t>
  </si>
  <si>
    <t xml:space="preserve">Contexto do projeto (onboarding)</t>
  </si>
  <si>
    <t xml:space="preserve">Esag Jr.</t>
  </si>
  <si>
    <t xml:space="preserve">Consultoria</t>
  </si>
  <si>
    <t xml:space="preserve">Faz o estudo de viabilidade do negócio em 8 semanas.</t>
  </si>
  <si>
    <t xml:space="preserve">Acesso às informações e alinhamento com os fundadores.</t>
  </si>
  <si>
    <t xml:space="preserve">Análise de mercado, pesquisa e planos operacional e financeiro que embasem a decisão.</t>
  </si>
  <si>
    <t xml:space="preserve">Fechar cada fase com uma síntese e uma recomendação direta para a WEEK, para que o estudo seja a base da decisão de lançar.</t>
  </si>
  <si>
    <t xml:space="preserve">Farma Júnior</t>
  </si>
  <si>
    <t xml:space="preserve">Também atende os fundadores e entregou a pesquisa de mercado (Entrega parcial 1), base do estudo da Esag Jr.</t>
  </si>
  <si>
    <t xml:space="preserve">Que a pesquisa entregue seja aproveitada, sem sobreposição de trabalho.</t>
  </si>
  <si>
    <t xml:space="preserve">Dados da pesquisa já feita e alinhamento com o estudo de viabilidade.</t>
  </si>
  <si>
    <t xml:space="preserve">Alinhar com a Farma Júnior antes da pesquisa de mercado (semanas 4 e 5) para reaproveitar os dados e não repetir perguntas.</t>
  </si>
  <si>
    <t xml:space="preserve">Conferir na Matriz CSD</t>
  </si>
  <si>
    <t xml:space="preserve">Fornecedor do sachê biodegradável</t>
  </si>
  <si>
    <t xml:space="preserve">Fornecedor</t>
  </si>
  <si>
    <t xml:space="preserve">Fornece a embalagem de uso único, base do diferencial do produto. Ainda não definido.</t>
  </si>
  <si>
    <t xml:space="preserve">Volume de compra e previsibilidade de pedidos.</t>
  </si>
  <si>
    <t xml:space="preserve">Sachê biodegradável com comprovação técnica, em lote compatível com um lançamento.</t>
  </si>
  <si>
    <t xml:space="preserve">Mapear fornecedores no plano operacional e pedir comprovação técnica da biodegradabilidade. O Decreto nº 12.688/2025 abre espaço para tratamento diferenciado na logística reversa quando isso é tecnicamente comprovado.</t>
  </si>
  <si>
    <t xml:space="preserve">Decreto nº 12.688/2025, Planalto: https://www.planalto.gov.br/ccivil_03/_ato2023-2026/2025/decreto/d12688.htm | PESTALD WEEK, parte Político: https://docs.google.com/document/d/1rTsrv_ybbYp2e9YkJtvBSus9jepMAUDhKYAaqbxlMc0/edit</t>
  </si>
  <si>
    <t xml:space="preserve">Fabricante terceirizado</t>
  </si>
  <si>
    <t xml:space="preserve">Fabricaria e envasaria o shampoo e o condicionador nos sachês. Ainda não definido.</t>
  </si>
  <si>
    <t xml:space="preserve">Pedido mínimo viável e formulação definida.</t>
  </si>
  <si>
    <t xml:space="preserve">Produção em lote pequeno, com AFE, já que quem envasa também precisa de autorização da Anvisa.</t>
  </si>
  <si>
    <t xml:space="preserve">No plano operacional, listar fabricantes com AFE que trabalhem com sachê e pedir orçamento para um lote de lançamento.</t>
  </si>
  <si>
    <t xml:space="preserve">PESTALD WEEK, partes Econômico e Legal: https://docs.google.com/document/d/1rTsrv_ybbYp2e9YkJtvBSus9jepMAUDhKYAaqbxlMc0/edit</t>
  </si>
  <si>
    <t xml:space="preserve">Anvisa e vigilância sanitária</t>
  </si>
  <si>
    <t xml:space="preserve">Regulador</t>
  </si>
  <si>
    <t xml:space="preserve">A vigilância local emite a Licença Sanitária e a Anvisa concede a AFE e recebe a notificação dos produtos.</t>
  </si>
  <si>
    <t xml:space="preserve">Empresa licenciada, produto notificado, rotulagem correta, responsável técnico e cosmetovigilância.</t>
  </si>
  <si>
    <t xml:space="preserve">Produto regularizado. Sem isso o kit não pode ser vendido.</t>
  </si>
  <si>
    <t xml:space="preserve">Levantar com um responsável técnico os requisitos de Licença Sanitária, AFE e notificação antes de escolher o fabricante.</t>
  </si>
  <si>
    <t xml:space="preserve">Lei nº 6.360/1976, Planalto: https://www.planalto.gov.br/ccivil_03/leis/l6360.htm | PESTALD WEEK, parte Legal: https://docs.google.com/document/d/1rTsrv_ybbYp2e9YkJtvBSus9jepMAUDhKYAaqbxlMc0/edit</t>
  </si>
  <si>
    <t xml:space="preserve">Academias e hotéis</t>
  </si>
  <si>
    <t xml:space="preserve">Cliente B2B</t>
  </si>
  <si>
    <t xml:space="preserve">Possíveis compradores do kit para alunos e hóspedes em Campinas e região.</t>
  </si>
  <si>
    <t xml:space="preserve">Produto prático, que agregue valor ao serviço, a um custo por uso viável.</t>
  </si>
  <si>
    <t xml:space="preserve">Interesse confirmado em comprar o kit e espaço para teste.</t>
  </si>
  <si>
    <t xml:space="preserve">Entrevistar academias e hotéis de Campinas na pesquisa de mercado para testar o interesse em comprar o kit.</t>
  </si>
  <si>
    <t xml:space="preserve">Equipe Esag Jr.</t>
  </si>
  <si>
    <t xml:space="preserve">Suposição: academias, hotéis e empresas têm interesse em adquirir o kit (B2B)</t>
  </si>
  <si>
    <t xml:space="preserve">PESTALD WEEK, quadro da Matriz CSD na parte Demográfico: https://docs.google.com/document/d/1rTsrv_ybbYp2e9YkJtvBSus9jepMAUDhKYAaqbxlMc0/edit</t>
  </si>
  <si>
    <t xml:space="preserve">Consumidor final</t>
  </si>
  <si>
    <t xml:space="preserve">Compraria e usaria o kit na academia ou em viagem.</t>
  </si>
  <si>
    <t xml:space="preserve">Praticidade e qualidade de produto premium.</t>
  </si>
  <si>
    <t xml:space="preserve">Compra e indicação para outras pessoas.</t>
  </si>
  <si>
    <t xml:space="preserve">Definir o cliente ideal e testar a disposição a pagar na pesquisa de mercado.</t>
  </si>
  <si>
    <t xml:space="preserve">Dúvida: quem é o cliente ideal? Suposição: os clientes estão dispostos a pagar mais pela praticidade e pela qualidade</t>
  </si>
  <si>
    <t xml:space="preserve">PESTALD WEEK, quadros da Matriz CSD nas partes Social e Demográfico: https://docs.google.com/document/d/1rTsrv_ybbYp2e9YkJtvBSus9jepMAUDhKYAaqbxlMc0/edit</t>
  </si>
  <si>
    <t xml:space="preserve">Matriz de poder e interesse: AS IS e TO BE</t>
  </si>
  <si>
    <t xml:space="preserve">Eixo Y: poder sobre o negócio. Eixo X: interesse no negócio. Montada automaticamente a partir da aba Stakeholders.</t>
  </si>
  <si>
    <t xml:space="preserve">Nota de corte em uso (aba Stakeholders)</t>
  </si>
  <si>
    <t xml:space="preserve">AS IS: onde cada stakeholder está hoje</t>
  </si>
  <si>
    <t xml:space="preserve">TO BE: onde a WEEK precisa dele até o lançamento</t>
  </si>
  <si>
    <t xml:space="preserve">PODER</t>
  </si>
  <si>
    <t xml:space="preserve">INTERESSE</t>
  </si>
  <si>
    <t xml:space="preserve">Total no AS IS</t>
  </si>
  <si>
    <t xml:space="preserve">Total no TO BE</t>
  </si>
  <si>
    <t xml:space="preserve">Poder e interesse altos. Envolver nas decisões, com contato frequente e combinados claros.</t>
  </si>
  <si>
    <t xml:space="preserve">Poder alto e interesse baixo. Atender às exigências sem sobrecarregar com informação.</t>
  </si>
  <si>
    <t xml:space="preserve">Poder baixo e interesse alto. Comunicar os avanços e ouvir sugestões.</t>
  </si>
  <si>
    <t xml:space="preserve">Poder e interesse baixos. Acompanhar com pouco esforço e rever as notas se algo mudar.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</si>
</sst>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82F66"/>
      <name val="Montserrat"/>
      <family val="0"/>
      <charset val="1"/>
    </font>
    <font>
      <sz val="10"/>
      <color rgb="FF7F7F7F"/>
      <name val="Montserrat"/>
      <family val="0"/>
      <charset val="1"/>
    </font>
    <font>
      <b val="true"/>
      <sz val="12"/>
      <color rgb="FF082F66"/>
      <name val="Montserrat"/>
      <family val="0"/>
      <charset val="1"/>
    </font>
    <font>
      <sz val="10"/>
      <color rgb="FF262626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b val="true"/>
      <sz val="10"/>
      <color rgb="FF082F66"/>
      <name val="Montserrat"/>
      <family val="0"/>
      <charset val="1"/>
    </font>
    <font>
      <i val="true"/>
      <sz val="9"/>
      <color rgb="FF7F7F7F"/>
      <name val="Montserrat"/>
      <family val="0"/>
      <charset val="1"/>
    </font>
    <font>
      <b val="true"/>
      <sz val="16"/>
      <color rgb="FF082F66"/>
      <name val="Montserrat"/>
      <family val="0"/>
      <charset val="1"/>
    </font>
    <font>
      <sz val="9"/>
      <color rgb="FF7F7F7F"/>
      <name val="Montserrat"/>
      <family val="0"/>
      <charset val="1"/>
    </font>
    <font>
      <b val="true"/>
      <sz val="9"/>
      <color rgb="FF082F66"/>
      <name val="Montserrat"/>
      <family val="0"/>
      <charset val="1"/>
    </font>
    <font>
      <b val="true"/>
      <sz val="12"/>
      <color rgb="FFFFFFFF"/>
      <name val="Montserrat"/>
      <family val="0"/>
      <charset val="1"/>
    </font>
    <font>
      <sz val="9"/>
      <color rgb="FF262626"/>
      <name val="Montserrat"/>
      <family val="0"/>
      <charset val="1"/>
    </font>
    <font>
      <b val="true"/>
      <sz val="11"/>
      <color rgb="FF082F66"/>
      <name val="Montserrat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F1FA"/>
        <bgColor rgb="FFF2F2F2"/>
      </patternFill>
    </fill>
    <fill>
      <patternFill patternType="solid">
        <fgColor rgb="FFF2F2F2"/>
        <bgColor rgb="FFEAF1FA"/>
      </patternFill>
    </fill>
    <fill>
      <patternFill patternType="solid">
        <fgColor rgb="FF082F66"/>
        <bgColor rgb="FF262626"/>
      </patternFill>
    </fill>
    <fill>
      <patternFill patternType="solid">
        <fgColor rgb="FF2A6DB8"/>
        <bgColor rgb="FF0857A0"/>
      </patternFill>
    </fill>
    <fill>
      <patternFill patternType="solid">
        <fgColor rgb="FF8DB3E2"/>
        <bgColor rgb="FF9999FF"/>
      </patternFill>
    </fill>
    <fill>
      <patternFill patternType="solid">
        <fgColor rgb="FFDCE6F2"/>
        <bgColor rgb="FFEAF1FA"/>
      </patternFill>
    </fill>
    <fill>
      <patternFill patternType="solid">
        <fgColor rgb="FF0857A0"/>
        <bgColor rgb="FF2A6DB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82F66"/>
      </bottom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 style="medium">
        <color rgb="FF082F6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82F6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A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2A6DB8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ont>
        <name val="Montserrat"/>
        <charset val="1"/>
        <family val="0"/>
        <b val="1"/>
        <color rgb="FFFFFFFF"/>
      </font>
      <fill>
        <patternFill>
          <bgColor rgb="FF082F66"/>
        </patternFill>
      </fill>
    </dxf>
    <dxf>
      <font>
        <name val="Montserrat"/>
        <charset val="1"/>
        <family val="0"/>
        <b val="1"/>
        <color rgb="FFFFFFFF"/>
      </font>
      <fill>
        <patternFill>
          <bgColor rgb="FF2A6DB8"/>
        </patternFill>
      </fill>
    </dxf>
    <dxf>
      <font>
        <name val="Montserrat"/>
        <charset val="1"/>
        <family val="0"/>
        <b val="1"/>
        <color rgb="FF082F66"/>
      </font>
      <fill>
        <patternFill>
          <bgColor rgb="FF8DB3E2"/>
        </patternFill>
      </fill>
    </dxf>
    <dxf>
      <font>
        <name val="Montserrat"/>
        <charset val="1"/>
        <family val="0"/>
        <b val="1"/>
        <color rgb="FF082F66"/>
      </font>
      <fill>
        <patternFill>
          <bgColor rgb="FFDCE6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EAF1FA"/>
      <rgbColor rgb="FF660066"/>
      <rgbColor rgb="FFFF8080"/>
      <rgbColor rgb="FF0857A0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8DB3E2"/>
      <rgbColor rgb="FFFF99CC"/>
      <rgbColor rgb="FFCC99FF"/>
      <rgbColor rgb="FFFFCC99"/>
      <rgbColor rgb="FF2A6DB8"/>
      <rgbColor rgb="FF33CCCC"/>
      <rgbColor rgb="FF99CC00"/>
      <rgbColor rgb="FFFFCC00"/>
      <rgbColor rgb="FFFF9900"/>
      <rgbColor rgb="FFFF6600"/>
      <rgbColor rgb="FF666699"/>
      <rgbColor rgb="FF969696"/>
      <rgbColor rgb="FF082F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46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48" hidden="false" customHeight="true" outlineLevel="0" collapsed="false">
      <c r="B5" s="5" t="s">
        <v>3</v>
      </c>
      <c r="C5" s="5"/>
      <c r="D5" s="5"/>
    </row>
    <row r="7" customFormat="false" ht="15" hidden="false" customHeight="false" outlineLevel="0" collapsed="false">
      <c r="B7" s="3" t="s">
        <v>4</v>
      </c>
      <c r="C7" s="4"/>
      <c r="D7" s="4"/>
    </row>
    <row r="8" customFormat="false" ht="48" hidden="false" customHeight="true" outlineLevel="0" collapsed="false">
      <c r="B8" s="5" t="s">
        <v>5</v>
      </c>
      <c r="C8" s="5"/>
      <c r="D8" s="5"/>
    </row>
    <row r="10" customFormat="false" ht="15" hidden="false" customHeight="false" outlineLevel="0" collapsed="false">
      <c r="B10" s="3" t="s">
        <v>6</v>
      </c>
      <c r="C10" s="4"/>
      <c r="D10" s="4"/>
    </row>
    <row r="11" customFormat="false" ht="18" hidden="false" customHeight="true" outlineLevel="0" collapsed="false">
      <c r="B11" s="5" t="s">
        <v>7</v>
      </c>
      <c r="C11" s="5"/>
      <c r="D11" s="5"/>
    </row>
    <row r="12" customFormat="false" ht="18" hidden="false" customHeight="true" outlineLevel="0" collapsed="false">
      <c r="B12" s="5" t="s">
        <v>8</v>
      </c>
      <c r="C12" s="5"/>
      <c r="D12" s="5"/>
    </row>
    <row r="13" customFormat="false" ht="18" hidden="false" customHeight="true" outlineLevel="0" collapsed="false">
      <c r="B13" s="5" t="s">
        <v>9</v>
      </c>
      <c r="C13" s="5"/>
      <c r="D13" s="5"/>
    </row>
    <row r="14" customFormat="false" ht="30" hidden="false" customHeight="true" outlineLevel="0" collapsed="false">
      <c r="B14" s="5" t="s">
        <v>10</v>
      </c>
      <c r="C14" s="5"/>
      <c r="D14" s="5"/>
    </row>
    <row r="16" customFormat="false" ht="15" hidden="false" customHeight="false" outlineLevel="0" collapsed="false">
      <c r="B16" s="3" t="s">
        <v>11</v>
      </c>
      <c r="C16" s="4"/>
      <c r="D16" s="4"/>
    </row>
    <row r="17" customFormat="false" ht="15" hidden="false" customHeight="false" outlineLevel="0" collapsed="false">
      <c r="B17" s="6"/>
      <c r="C17" s="7" t="s">
        <v>12</v>
      </c>
    </row>
    <row r="18" customFormat="false" ht="15" hidden="false" customHeight="false" outlineLevel="0" collapsed="false">
      <c r="B18" s="8"/>
      <c r="C18" s="7" t="s">
        <v>13</v>
      </c>
    </row>
    <row r="20" customFormat="false" ht="15" hidden="false" customHeight="false" outlineLevel="0" collapsed="false">
      <c r="B20" s="3" t="s">
        <v>14</v>
      </c>
      <c r="C20" s="4"/>
      <c r="D20" s="4"/>
    </row>
    <row r="21" customFormat="false" ht="15" hidden="false" customHeight="false" outlineLevel="0" collapsed="false">
      <c r="B21" s="9" t="s">
        <v>15</v>
      </c>
      <c r="C21" s="9" t="s">
        <v>16</v>
      </c>
      <c r="D21" s="9" t="s">
        <v>17</v>
      </c>
    </row>
    <row r="22" customFormat="false" ht="30" hidden="false" customHeight="true" outlineLevel="0" collapsed="false">
      <c r="B22" s="10" t="n">
        <v>1</v>
      </c>
      <c r="C22" s="11" t="s">
        <v>18</v>
      </c>
      <c r="D22" s="11" t="s">
        <v>19</v>
      </c>
    </row>
    <row r="23" customFormat="false" ht="30" hidden="false" customHeight="true" outlineLevel="0" collapsed="false">
      <c r="B23" s="10" t="n">
        <v>2</v>
      </c>
      <c r="C23" s="11" t="s">
        <v>20</v>
      </c>
      <c r="D23" s="11" t="s">
        <v>21</v>
      </c>
    </row>
    <row r="24" customFormat="false" ht="30" hidden="false" customHeight="true" outlineLevel="0" collapsed="false">
      <c r="B24" s="10" t="n">
        <v>3</v>
      </c>
      <c r="C24" s="11" t="s">
        <v>22</v>
      </c>
      <c r="D24" s="11" t="s">
        <v>23</v>
      </c>
    </row>
    <row r="25" customFormat="false" ht="30" hidden="false" customHeight="true" outlineLevel="0" collapsed="false">
      <c r="B25" s="10" t="n">
        <v>4</v>
      </c>
      <c r="C25" s="11" t="s">
        <v>24</v>
      </c>
      <c r="D25" s="11" t="s">
        <v>25</v>
      </c>
    </row>
    <row r="26" customFormat="false" ht="30" hidden="false" customHeight="true" outlineLevel="0" collapsed="false">
      <c r="B26" s="10" t="n">
        <v>5</v>
      </c>
      <c r="C26" s="11" t="s">
        <v>26</v>
      </c>
      <c r="D26" s="11" t="s">
        <v>27</v>
      </c>
    </row>
    <row r="28" customFormat="false" ht="15" hidden="false" customHeight="false" outlineLevel="0" collapsed="false">
      <c r="B28" s="3" t="s">
        <v>28</v>
      </c>
      <c r="C28" s="4"/>
      <c r="D28" s="4"/>
    </row>
    <row r="29" customFormat="false" ht="15" hidden="false" customHeight="false" outlineLevel="0" collapsed="false">
      <c r="B29" s="9" t="s">
        <v>29</v>
      </c>
      <c r="C29" s="9" t="s">
        <v>30</v>
      </c>
      <c r="D29" s="9" t="s">
        <v>31</v>
      </c>
    </row>
    <row r="30" customFormat="false" ht="30" hidden="false" customHeight="true" outlineLevel="0" collapsed="false">
      <c r="B30" s="9" t="s">
        <v>32</v>
      </c>
      <c r="C30" s="11" t="s">
        <v>33</v>
      </c>
      <c r="D30" s="11" t="s">
        <v>34</v>
      </c>
    </row>
    <row r="31" customFormat="false" ht="30" hidden="false" customHeight="true" outlineLevel="0" collapsed="false">
      <c r="B31" s="12" t="s">
        <v>35</v>
      </c>
      <c r="C31" s="11" t="s">
        <v>36</v>
      </c>
      <c r="D31" s="11" t="s">
        <v>37</v>
      </c>
    </row>
    <row r="32" customFormat="false" ht="30" hidden="false" customHeight="true" outlineLevel="0" collapsed="false">
      <c r="B32" s="13" t="s">
        <v>38</v>
      </c>
      <c r="C32" s="11" t="s">
        <v>39</v>
      </c>
      <c r="D32" s="11" t="s">
        <v>40</v>
      </c>
    </row>
    <row r="33" customFormat="false" ht="30" hidden="false" customHeight="true" outlineLevel="0" collapsed="false">
      <c r="B33" s="14" t="s">
        <v>41</v>
      </c>
      <c r="C33" s="11" t="s">
        <v>42</v>
      </c>
      <c r="D33" s="11" t="s">
        <v>43</v>
      </c>
    </row>
    <row r="34" customFormat="false" ht="18" hidden="false" customHeight="true" outlineLevel="0" collapsed="false">
      <c r="B34" s="15" t="s">
        <v>44</v>
      </c>
      <c r="C34" s="15"/>
      <c r="D34" s="15"/>
    </row>
  </sheetData>
  <mergeCells count="7">
    <mergeCell ref="B5:D5"/>
    <mergeCell ref="B8:D8"/>
    <mergeCell ref="B11:D11"/>
    <mergeCell ref="B12:D12"/>
    <mergeCell ref="B13:D13"/>
    <mergeCell ref="B14:D14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9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9"/>
    <col collapsed="false" customWidth="true" hidden="false" outlineLevel="0" max="13" min="13" style="0" width="46"/>
    <col collapsed="false" customWidth="true" hidden="false" outlineLevel="0" max="14" min="14" style="0" width="18"/>
    <col collapsed="false" customWidth="true" hidden="false" outlineLevel="0" max="15" min="15" style="0" width="38"/>
    <col collapsed="false" customWidth="true" hidden="false" outlineLevel="0" max="16" min="16" style="0" width="46"/>
  </cols>
  <sheetData>
    <row r="1" customFormat="false" ht="19.7" hidden="false" customHeight="false" outlineLevel="0" collapsed="false">
      <c r="A1" s="16" t="s">
        <v>0</v>
      </c>
    </row>
    <row r="2" customFormat="false" ht="15" hidden="false" customHeight="false" outlineLevel="0" collapsed="false">
      <c r="A2" s="17" t="s">
        <v>45</v>
      </c>
    </row>
    <row r="3" customFormat="false" ht="15" hidden="false" customHeight="false" outlineLevel="0" collapsed="false">
      <c r="B3" s="18" t="s">
        <v>46</v>
      </c>
      <c r="C3" s="18"/>
      <c r="D3" s="18"/>
      <c r="E3" s="18"/>
      <c r="F3" s="18"/>
      <c r="G3" s="19" t="n">
        <v>3</v>
      </c>
    </row>
    <row r="4" customFormat="false" ht="15" hidden="false" customHeight="true" outlineLevel="0" collapsed="false">
      <c r="A4" s="20" t="s">
        <v>47</v>
      </c>
      <c r="B4" s="20"/>
      <c r="C4" s="20"/>
      <c r="D4" s="20"/>
      <c r="E4" s="20"/>
      <c r="F4" s="20"/>
      <c r="G4" s="21" t="s">
        <v>48</v>
      </c>
      <c r="H4" s="21"/>
      <c r="I4" s="21"/>
      <c r="J4" s="21" t="s">
        <v>49</v>
      </c>
      <c r="K4" s="21"/>
      <c r="L4" s="21"/>
      <c r="M4" s="20" t="s">
        <v>50</v>
      </c>
      <c r="N4" s="20"/>
      <c r="O4" s="20"/>
      <c r="P4" s="20"/>
    </row>
    <row r="5" customFormat="false" ht="31.5" hidden="false" customHeight="true" outlineLevel="0" collapsed="false">
      <c r="A5" s="9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  <c r="G5" s="9" t="s">
        <v>57</v>
      </c>
      <c r="H5" s="9" t="s">
        <v>58</v>
      </c>
      <c r="I5" s="9" t="s">
        <v>29</v>
      </c>
      <c r="J5" s="9" t="s">
        <v>57</v>
      </c>
      <c r="K5" s="9" t="s">
        <v>58</v>
      </c>
      <c r="L5" s="9" t="s">
        <v>29</v>
      </c>
      <c r="M5" s="9" t="s">
        <v>59</v>
      </c>
      <c r="N5" s="9" t="s">
        <v>60</v>
      </c>
      <c r="O5" s="9" t="s">
        <v>61</v>
      </c>
      <c r="P5" s="9" t="s">
        <v>62</v>
      </c>
    </row>
    <row r="6" customFormat="false" ht="25.35" hidden="false" customHeight="false" outlineLevel="0" collapsed="false">
      <c r="A6" s="22" t="n">
        <f aca="false">IF(B6="","",COUNTA($B$6:B6))</f>
        <v>1</v>
      </c>
      <c r="B6" s="23" t="s">
        <v>63</v>
      </c>
      <c r="C6" s="23" t="s">
        <v>64</v>
      </c>
      <c r="D6" s="23" t="s">
        <v>65</v>
      </c>
      <c r="E6" s="23" t="s">
        <v>66</v>
      </c>
      <c r="F6" s="23" t="s">
        <v>67</v>
      </c>
      <c r="G6" s="24" t="n">
        <v>5</v>
      </c>
      <c r="H6" s="24" t="n">
        <v>5</v>
      </c>
      <c r="I6" s="25" t="str">
        <f aca="false">IF(OR(G6="",H6=""),"",IF(G6&gt;=$G$3,IF(H6&gt;=$G$3,"Gerenciar de perto","Manter satisfeito"),IF(H6&gt;=$G$3,"Manter informado","Monitorar")))</f>
        <v>Gerenciar de perto</v>
      </c>
      <c r="J6" s="24" t="n">
        <v>5</v>
      </c>
      <c r="K6" s="24" t="n">
        <v>5</v>
      </c>
      <c r="L6" s="25" t="str">
        <f aca="false">IF(OR(J6="",K6=""),"",IF(J6&gt;=$G$3,IF(K6&gt;=$G$3,"Gerenciar de perto","Manter satisfeito"),IF(K6&gt;=$G$3,"Manter informado","Monitorar")))</f>
        <v>Gerenciar de perto</v>
      </c>
      <c r="M6" s="23" t="s">
        <v>68</v>
      </c>
      <c r="N6" s="23" t="s">
        <v>69</v>
      </c>
      <c r="O6" s="23" t="s">
        <v>70</v>
      </c>
      <c r="P6" s="23" t="s">
        <v>71</v>
      </c>
    </row>
    <row r="7" customFormat="false" ht="37.3" hidden="false" customHeight="false" outlineLevel="0" collapsed="false">
      <c r="A7" s="22" t="n">
        <f aca="false">IF(B7="","",COUNTA($B$6:B7))</f>
        <v>2</v>
      </c>
      <c r="B7" s="23" t="s">
        <v>72</v>
      </c>
      <c r="C7" s="23" t="s">
        <v>73</v>
      </c>
      <c r="D7" s="23" t="s">
        <v>74</v>
      </c>
      <c r="E7" s="23" t="s">
        <v>75</v>
      </c>
      <c r="F7" s="23" t="s">
        <v>76</v>
      </c>
      <c r="G7" s="24" t="n">
        <v>3</v>
      </c>
      <c r="H7" s="24" t="n">
        <v>5</v>
      </c>
      <c r="I7" s="25" t="str">
        <f aca="false">IF(OR(G7="",H7=""),"",IF(G7&gt;=$G$3,IF(H7&gt;=$G$3,"Gerenciar de perto","Manter satisfeito"),IF(H7&gt;=$G$3,"Manter informado","Monitorar")))</f>
        <v>Gerenciar de perto</v>
      </c>
      <c r="J7" s="24" t="n">
        <v>4</v>
      </c>
      <c r="K7" s="24" t="n">
        <v>5</v>
      </c>
      <c r="L7" s="25" t="str">
        <f aca="false">IF(OR(J7="",K7=""),"",IF(J7&gt;=$G$3,IF(K7&gt;=$G$3,"Gerenciar de perto","Manter satisfeito"),IF(K7&gt;=$G$3,"Manter informado","Monitorar")))</f>
        <v>Gerenciar de perto</v>
      </c>
      <c r="M7" s="23" t="s">
        <v>77</v>
      </c>
      <c r="N7" s="23" t="s">
        <v>69</v>
      </c>
      <c r="O7" s="23" t="s">
        <v>70</v>
      </c>
      <c r="P7" s="23" t="s">
        <v>71</v>
      </c>
    </row>
    <row r="8" customFormat="false" ht="37.3" hidden="false" customHeight="false" outlineLevel="0" collapsed="false">
      <c r="A8" s="22" t="n">
        <f aca="false">IF(B8="","",COUNTA($B$6:B8))</f>
        <v>3</v>
      </c>
      <c r="B8" s="23" t="s">
        <v>78</v>
      </c>
      <c r="C8" s="23" t="s">
        <v>73</v>
      </c>
      <c r="D8" s="23" t="s">
        <v>79</v>
      </c>
      <c r="E8" s="23" t="s">
        <v>80</v>
      </c>
      <c r="F8" s="23" t="s">
        <v>81</v>
      </c>
      <c r="G8" s="24" t="n">
        <v>3</v>
      </c>
      <c r="H8" s="24" t="n">
        <v>2</v>
      </c>
      <c r="I8" s="25" t="str">
        <f aca="false">IF(OR(G8="",H8=""),"",IF(G8&gt;=$G$3,IF(H8&gt;=$G$3,"Gerenciar de perto","Manter satisfeito"),IF(H8&gt;=$G$3,"Manter informado","Monitorar")))</f>
        <v>Manter satisfeito</v>
      </c>
      <c r="J8" s="24" t="n">
        <v>3</v>
      </c>
      <c r="K8" s="24" t="n">
        <v>4</v>
      </c>
      <c r="L8" s="25" t="str">
        <f aca="false">IF(OR(J8="",K8=""),"",IF(J8&gt;=$G$3,IF(K8&gt;=$G$3,"Gerenciar de perto","Manter satisfeito"),IF(K8&gt;=$G$3,"Manter informado","Monitorar")))</f>
        <v>Gerenciar de perto</v>
      </c>
      <c r="M8" s="23" t="s">
        <v>82</v>
      </c>
      <c r="N8" s="23" t="s">
        <v>69</v>
      </c>
      <c r="O8" s="23" t="s">
        <v>83</v>
      </c>
      <c r="P8" s="23" t="s">
        <v>71</v>
      </c>
    </row>
    <row r="9" customFormat="false" ht="73.1" hidden="false" customHeight="false" outlineLevel="0" collapsed="false">
      <c r="A9" s="22" t="n">
        <f aca="false">IF(B9="","",COUNTA($B$6:B9))</f>
        <v>4</v>
      </c>
      <c r="B9" s="23" t="s">
        <v>84</v>
      </c>
      <c r="C9" s="23" t="s">
        <v>85</v>
      </c>
      <c r="D9" s="23" t="s">
        <v>86</v>
      </c>
      <c r="E9" s="23" t="s">
        <v>87</v>
      </c>
      <c r="F9" s="23" t="s">
        <v>88</v>
      </c>
      <c r="G9" s="24" t="n">
        <v>5</v>
      </c>
      <c r="H9" s="24" t="n">
        <v>1</v>
      </c>
      <c r="I9" s="25" t="str">
        <f aca="false">IF(OR(G9="",H9=""),"",IF(G9&gt;=$G$3,IF(H9&gt;=$G$3,"Gerenciar de perto","Manter satisfeito"),IF(H9&gt;=$G$3,"Manter informado","Monitorar")))</f>
        <v>Manter satisfeito</v>
      </c>
      <c r="J9" s="24" t="n">
        <v>5</v>
      </c>
      <c r="K9" s="24" t="n">
        <v>4</v>
      </c>
      <c r="L9" s="25" t="str">
        <f aca="false">IF(OR(J9="",K9=""),"",IF(J9&gt;=$G$3,IF(K9&gt;=$G$3,"Gerenciar de perto","Manter satisfeito"),IF(K9&gt;=$G$3,"Manter informado","Monitorar")))</f>
        <v>Gerenciar de perto</v>
      </c>
      <c r="M9" s="23" t="s">
        <v>89</v>
      </c>
      <c r="N9" s="23" t="s">
        <v>63</v>
      </c>
      <c r="O9" s="23" t="s">
        <v>83</v>
      </c>
      <c r="P9" s="23" t="s">
        <v>90</v>
      </c>
    </row>
    <row r="10" customFormat="false" ht="37.3" hidden="false" customHeight="false" outlineLevel="0" collapsed="false">
      <c r="A10" s="22" t="n">
        <f aca="false">IF(B10="","",COUNTA($B$6:B10))</f>
        <v>5</v>
      </c>
      <c r="B10" s="23" t="s">
        <v>91</v>
      </c>
      <c r="C10" s="23" t="s">
        <v>85</v>
      </c>
      <c r="D10" s="23" t="s">
        <v>92</v>
      </c>
      <c r="E10" s="23" t="s">
        <v>93</v>
      </c>
      <c r="F10" s="23" t="s">
        <v>94</v>
      </c>
      <c r="G10" s="24" t="n">
        <v>4</v>
      </c>
      <c r="H10" s="24" t="n">
        <v>1</v>
      </c>
      <c r="I10" s="25" t="str">
        <f aca="false">IF(OR(G10="",H10=""),"",IF(G10&gt;=$G$3,IF(H10&gt;=$G$3,"Gerenciar de perto","Manter satisfeito"),IF(H10&gt;=$G$3,"Manter informado","Monitorar")))</f>
        <v>Manter satisfeito</v>
      </c>
      <c r="J10" s="24" t="n">
        <v>4</v>
      </c>
      <c r="K10" s="24" t="n">
        <v>4</v>
      </c>
      <c r="L10" s="25" t="str">
        <f aca="false">IF(OR(J10="",K10=""),"",IF(J10&gt;=$G$3,IF(K10&gt;=$G$3,"Gerenciar de perto","Manter satisfeito"),IF(K10&gt;=$G$3,"Manter informado","Monitorar")))</f>
        <v>Gerenciar de perto</v>
      </c>
      <c r="M10" s="23" t="s">
        <v>95</v>
      </c>
      <c r="N10" s="23" t="s">
        <v>63</v>
      </c>
      <c r="O10" s="23" t="s">
        <v>83</v>
      </c>
      <c r="P10" s="23" t="s">
        <v>96</v>
      </c>
    </row>
    <row r="11" customFormat="false" ht="61.15" hidden="false" customHeight="false" outlineLevel="0" collapsed="false">
      <c r="A11" s="22" t="n">
        <f aca="false">IF(B11="","",COUNTA($B$6:B11))</f>
        <v>6</v>
      </c>
      <c r="B11" s="23" t="s">
        <v>97</v>
      </c>
      <c r="C11" s="23" t="s">
        <v>98</v>
      </c>
      <c r="D11" s="23" t="s">
        <v>99</v>
      </c>
      <c r="E11" s="23" t="s">
        <v>100</v>
      </c>
      <c r="F11" s="23" t="s">
        <v>101</v>
      </c>
      <c r="G11" s="24" t="n">
        <v>5</v>
      </c>
      <c r="H11" s="24" t="n">
        <v>1</v>
      </c>
      <c r="I11" s="25" t="str">
        <f aca="false">IF(OR(G11="",H11=""),"",IF(G11&gt;=$G$3,IF(H11&gt;=$G$3,"Gerenciar de perto","Manter satisfeito"),IF(H11&gt;=$G$3,"Manter informado","Monitorar")))</f>
        <v>Manter satisfeito</v>
      </c>
      <c r="J11" s="24" t="n">
        <v>5</v>
      </c>
      <c r="K11" s="24" t="n">
        <v>2</v>
      </c>
      <c r="L11" s="25" t="str">
        <f aca="false">IF(OR(J11="",K11=""),"",IF(J11&gt;=$G$3,IF(K11&gt;=$G$3,"Gerenciar de perto","Manter satisfeito"),IF(K11&gt;=$G$3,"Manter informado","Monitorar")))</f>
        <v>Manter satisfeito</v>
      </c>
      <c r="M11" s="23" t="s">
        <v>102</v>
      </c>
      <c r="N11" s="23" t="s">
        <v>63</v>
      </c>
      <c r="O11" s="23" t="s">
        <v>83</v>
      </c>
      <c r="P11" s="23" t="s">
        <v>103</v>
      </c>
    </row>
    <row r="12" customFormat="false" ht="49.25" hidden="false" customHeight="false" outlineLevel="0" collapsed="false">
      <c r="A12" s="22" t="n">
        <f aca="false">IF(B12="","",COUNTA($B$6:B12))</f>
        <v>7</v>
      </c>
      <c r="B12" s="23" t="s">
        <v>104</v>
      </c>
      <c r="C12" s="23" t="s">
        <v>105</v>
      </c>
      <c r="D12" s="23" t="s">
        <v>106</v>
      </c>
      <c r="E12" s="23" t="s">
        <v>107</v>
      </c>
      <c r="F12" s="23" t="s">
        <v>108</v>
      </c>
      <c r="G12" s="24" t="n">
        <v>2</v>
      </c>
      <c r="H12" s="24" t="n">
        <v>1</v>
      </c>
      <c r="I12" s="25" t="str">
        <f aca="false">IF(OR(G12="",H12=""),"",IF(G12&gt;=$G$3,IF(H12&gt;=$G$3,"Gerenciar de perto","Manter satisfeito"),IF(H12&gt;=$G$3,"Manter informado","Monitorar")))</f>
        <v>Monitorar</v>
      </c>
      <c r="J12" s="24" t="n">
        <v>3</v>
      </c>
      <c r="K12" s="24" t="n">
        <v>4</v>
      </c>
      <c r="L12" s="25" t="str">
        <f aca="false">IF(OR(J12="",K12=""),"",IF(J12&gt;=$G$3,IF(K12&gt;=$G$3,"Gerenciar de perto","Manter satisfeito"),IF(K12&gt;=$G$3,"Manter informado","Monitorar")))</f>
        <v>Gerenciar de perto</v>
      </c>
      <c r="M12" s="23" t="s">
        <v>109</v>
      </c>
      <c r="N12" s="23" t="s">
        <v>110</v>
      </c>
      <c r="O12" s="23" t="s">
        <v>111</v>
      </c>
      <c r="P12" s="23" t="s">
        <v>112</v>
      </c>
    </row>
    <row r="13" customFormat="false" ht="49.25" hidden="false" customHeight="false" outlineLevel="0" collapsed="false">
      <c r="A13" s="22" t="n">
        <f aca="false">IF(B13="","",COUNTA($B$6:B13))</f>
        <v>8</v>
      </c>
      <c r="B13" s="23" t="s">
        <v>113</v>
      </c>
      <c r="C13" s="23" t="s">
        <v>113</v>
      </c>
      <c r="D13" s="23" t="s">
        <v>114</v>
      </c>
      <c r="E13" s="23" t="s">
        <v>115</v>
      </c>
      <c r="F13" s="23" t="s">
        <v>116</v>
      </c>
      <c r="G13" s="24" t="n">
        <v>4</v>
      </c>
      <c r="H13" s="24" t="n">
        <v>1</v>
      </c>
      <c r="I13" s="25" t="str">
        <f aca="false">IF(OR(G13="",H13=""),"",IF(G13&gt;=$G$3,IF(H13&gt;=$G$3,"Gerenciar de perto","Manter satisfeito"),IF(H13&gt;=$G$3,"Manter informado","Monitorar")))</f>
        <v>Manter satisfeito</v>
      </c>
      <c r="J13" s="24" t="n">
        <v>4</v>
      </c>
      <c r="K13" s="24" t="n">
        <v>4</v>
      </c>
      <c r="L13" s="25" t="str">
        <f aca="false">IF(OR(J13="",K13=""),"",IF(J13&gt;=$G$3,IF(K13&gt;=$G$3,"Gerenciar de perto","Manter satisfeito"),IF(K13&gt;=$G$3,"Manter informado","Monitorar")))</f>
        <v>Gerenciar de perto</v>
      </c>
      <c r="M13" s="23" t="s">
        <v>117</v>
      </c>
      <c r="N13" s="23" t="s">
        <v>110</v>
      </c>
      <c r="O13" s="23" t="s">
        <v>118</v>
      </c>
      <c r="P13" s="23" t="s">
        <v>119</v>
      </c>
    </row>
    <row r="14" customFormat="false" ht="15" hidden="false" customHeight="false" outlineLevel="0" collapsed="false">
      <c r="A14" s="22" t="str">
        <f aca="false">IF(B14="","",COUNTA($B$6:B14))</f>
        <v/>
      </c>
      <c r="B14" s="23"/>
      <c r="C14" s="23"/>
      <c r="D14" s="23"/>
      <c r="E14" s="23"/>
      <c r="F14" s="23"/>
      <c r="G14" s="24"/>
      <c r="H14" s="24"/>
      <c r="I14" s="25" t="str">
        <f aca="false">IF(OR(G14="",H14=""),"",IF(G14&gt;=$G$3,IF(H14&gt;=$G$3,"Gerenciar de perto","Manter satisfeito"),IF(H14&gt;=$G$3,"Manter informado","Monitorar")))</f>
        <v/>
      </c>
      <c r="J14" s="24"/>
      <c r="K14" s="24"/>
      <c r="L14" s="25" t="str">
        <f aca="false">IF(OR(J14="",K14=""),"",IF(J14&gt;=$G$3,IF(K14&gt;=$G$3,"Gerenciar de perto","Manter satisfeito"),IF(K14&gt;=$G$3,"Manter informado","Monitorar")))</f>
        <v/>
      </c>
      <c r="M14" s="23"/>
      <c r="N14" s="23"/>
      <c r="O14" s="23"/>
      <c r="P14" s="23"/>
    </row>
    <row r="15" customFormat="false" ht="15" hidden="false" customHeight="false" outlineLevel="0" collapsed="false">
      <c r="A15" s="22" t="str">
        <f aca="false">IF(B15="","",COUNTA($B$6:B15))</f>
        <v/>
      </c>
      <c r="B15" s="23"/>
      <c r="C15" s="23"/>
      <c r="D15" s="23"/>
      <c r="E15" s="23"/>
      <c r="F15" s="23"/>
      <c r="G15" s="24"/>
      <c r="H15" s="24"/>
      <c r="I15" s="25" t="str">
        <f aca="false">IF(OR(G15="",H15=""),"",IF(G15&gt;=$G$3,IF(H15&gt;=$G$3,"Gerenciar de perto","Manter satisfeito"),IF(H15&gt;=$G$3,"Manter informado","Monitorar")))</f>
        <v/>
      </c>
      <c r="J15" s="24"/>
      <c r="K15" s="24"/>
      <c r="L15" s="25" t="str">
        <f aca="false">IF(OR(J15="",K15=""),"",IF(J15&gt;=$G$3,IF(K15&gt;=$G$3,"Gerenciar de perto","Manter satisfeito"),IF(K15&gt;=$G$3,"Manter informado","Monitorar")))</f>
        <v/>
      </c>
      <c r="M15" s="23"/>
      <c r="N15" s="23"/>
      <c r="O15" s="23"/>
      <c r="P15" s="23"/>
    </row>
    <row r="16" customFormat="false" ht="15" hidden="false" customHeight="false" outlineLevel="0" collapsed="false">
      <c r="A16" s="22" t="str">
        <f aca="false">IF(B16="","",COUNTA($B$6:B16))</f>
        <v/>
      </c>
      <c r="B16" s="23"/>
      <c r="C16" s="23"/>
      <c r="D16" s="23"/>
      <c r="E16" s="23"/>
      <c r="F16" s="23"/>
      <c r="G16" s="24"/>
      <c r="H16" s="24"/>
      <c r="I16" s="25" t="str">
        <f aca="false">IF(OR(G16="",H16=""),"",IF(G16&gt;=$G$3,IF(H16&gt;=$G$3,"Gerenciar de perto","Manter satisfeito"),IF(H16&gt;=$G$3,"Manter informado","Monitorar")))</f>
        <v/>
      </c>
      <c r="J16" s="24"/>
      <c r="K16" s="24"/>
      <c r="L16" s="25" t="str">
        <f aca="false">IF(OR(J16="",K16=""),"",IF(J16&gt;=$G$3,IF(K16&gt;=$G$3,"Gerenciar de perto","Manter satisfeito"),IF(K16&gt;=$G$3,"Manter informado","Monitorar")))</f>
        <v/>
      </c>
      <c r="M16" s="23"/>
      <c r="N16" s="23"/>
      <c r="O16" s="23"/>
      <c r="P16" s="23"/>
    </row>
    <row r="17" customFormat="false" ht="15" hidden="false" customHeight="false" outlineLevel="0" collapsed="false">
      <c r="A17" s="22" t="str">
        <f aca="false">IF(B17="","",COUNTA($B$6:B17))</f>
        <v/>
      </c>
      <c r="B17" s="23"/>
      <c r="C17" s="23"/>
      <c r="D17" s="23"/>
      <c r="E17" s="23"/>
      <c r="F17" s="23"/>
      <c r="G17" s="24"/>
      <c r="H17" s="24"/>
      <c r="I17" s="25" t="str">
        <f aca="false">IF(OR(G17="",H17=""),"",IF(G17&gt;=$G$3,IF(H17&gt;=$G$3,"Gerenciar de perto","Manter satisfeito"),IF(H17&gt;=$G$3,"Manter informado","Monitorar")))</f>
        <v/>
      </c>
      <c r="J17" s="24"/>
      <c r="K17" s="24"/>
      <c r="L17" s="25" t="str">
        <f aca="false">IF(OR(J17="",K17=""),"",IF(J17&gt;=$G$3,IF(K17&gt;=$G$3,"Gerenciar de perto","Manter satisfeito"),IF(K17&gt;=$G$3,"Manter informado","Monitorar")))</f>
        <v/>
      </c>
      <c r="M17" s="23"/>
      <c r="N17" s="23"/>
      <c r="O17" s="23"/>
      <c r="P17" s="23"/>
    </row>
    <row r="18" customFormat="false" ht="15" hidden="false" customHeight="false" outlineLevel="0" collapsed="false">
      <c r="A18" s="22" t="str">
        <f aca="false">IF(B18="","",COUNTA($B$6:B18))</f>
        <v/>
      </c>
      <c r="B18" s="23"/>
      <c r="C18" s="23"/>
      <c r="D18" s="23"/>
      <c r="E18" s="23"/>
      <c r="F18" s="23"/>
      <c r="G18" s="24"/>
      <c r="H18" s="24"/>
      <c r="I18" s="25" t="str">
        <f aca="false">IF(OR(G18="",H18=""),"",IF(G18&gt;=$G$3,IF(H18&gt;=$G$3,"Gerenciar de perto","Manter satisfeito"),IF(H18&gt;=$G$3,"Manter informado","Monitorar")))</f>
        <v/>
      </c>
      <c r="J18" s="24"/>
      <c r="K18" s="24"/>
      <c r="L18" s="25" t="str">
        <f aca="false">IF(OR(J18="",K18=""),"",IF(J18&gt;=$G$3,IF(K18&gt;=$G$3,"Gerenciar de perto","Manter satisfeito"),IF(K18&gt;=$G$3,"Manter informado","Monitorar")))</f>
        <v/>
      </c>
      <c r="M18" s="23"/>
      <c r="N18" s="23"/>
      <c r="O18" s="23"/>
      <c r="P18" s="23"/>
    </row>
    <row r="19" customFormat="false" ht="15" hidden="false" customHeight="false" outlineLevel="0" collapsed="false">
      <c r="A19" s="22" t="str">
        <f aca="false">IF(B19="","",COUNTA($B$6:B19))</f>
        <v/>
      </c>
      <c r="B19" s="23"/>
      <c r="C19" s="23"/>
      <c r="D19" s="23"/>
      <c r="E19" s="23"/>
      <c r="F19" s="23"/>
      <c r="G19" s="24"/>
      <c r="H19" s="24"/>
      <c r="I19" s="25" t="str">
        <f aca="false">IF(OR(G19="",H19=""),"",IF(G19&gt;=$G$3,IF(H19&gt;=$G$3,"Gerenciar de perto","Manter satisfeito"),IF(H19&gt;=$G$3,"Manter informado","Monitorar")))</f>
        <v/>
      </c>
      <c r="J19" s="24"/>
      <c r="K19" s="24"/>
      <c r="L19" s="25" t="str">
        <f aca="false">IF(OR(J19="",K19=""),"",IF(J19&gt;=$G$3,IF(K19&gt;=$G$3,"Gerenciar de perto","Manter satisfeito"),IF(K19&gt;=$G$3,"Manter informado","Monitorar")))</f>
        <v/>
      </c>
      <c r="M19" s="23"/>
      <c r="N19" s="23"/>
      <c r="O19" s="23"/>
      <c r="P19" s="23"/>
    </row>
    <row r="20" customFormat="false" ht="15" hidden="false" customHeight="false" outlineLevel="0" collapsed="false">
      <c r="A20" s="22" t="str">
        <f aca="false">IF(B20="","",COUNTA($B$6:B20))</f>
        <v/>
      </c>
      <c r="B20" s="23"/>
      <c r="C20" s="23"/>
      <c r="D20" s="23"/>
      <c r="E20" s="23"/>
      <c r="F20" s="23"/>
      <c r="G20" s="24"/>
      <c r="H20" s="24"/>
      <c r="I20" s="25" t="str">
        <f aca="false">IF(OR(G20="",H20=""),"",IF(G20&gt;=$G$3,IF(H20&gt;=$G$3,"Gerenciar de perto","Manter satisfeito"),IF(H20&gt;=$G$3,"Manter informado","Monitorar")))</f>
        <v/>
      </c>
      <c r="J20" s="24"/>
      <c r="K20" s="24"/>
      <c r="L20" s="25" t="str">
        <f aca="false">IF(OR(J20="",K20=""),"",IF(J20&gt;=$G$3,IF(K20&gt;=$G$3,"Gerenciar de perto","Manter satisfeito"),IF(K20&gt;=$G$3,"Manter informado","Monitorar")))</f>
        <v/>
      </c>
      <c r="M20" s="23"/>
      <c r="N20" s="23"/>
      <c r="O20" s="23"/>
      <c r="P20" s="23"/>
    </row>
    <row r="21" customFormat="false" ht="15" hidden="false" customHeight="false" outlineLevel="0" collapsed="false">
      <c r="A21" s="22" t="str">
        <f aca="false">IF(B21="","",COUNTA($B$6:B21))</f>
        <v/>
      </c>
      <c r="B21" s="23"/>
      <c r="C21" s="23"/>
      <c r="D21" s="23"/>
      <c r="E21" s="23"/>
      <c r="F21" s="23"/>
      <c r="G21" s="24"/>
      <c r="H21" s="24"/>
      <c r="I21" s="25" t="str">
        <f aca="false">IF(OR(G21="",H21=""),"",IF(G21&gt;=$G$3,IF(H21&gt;=$G$3,"Gerenciar de perto","Manter satisfeito"),IF(H21&gt;=$G$3,"Manter informado","Monitorar")))</f>
        <v/>
      </c>
      <c r="J21" s="24"/>
      <c r="K21" s="24"/>
      <c r="L21" s="25" t="str">
        <f aca="false">IF(OR(J21="",K21=""),"",IF(J21&gt;=$G$3,IF(K21&gt;=$G$3,"Gerenciar de perto","Manter satisfeito"),IF(K21&gt;=$G$3,"Manter informado","Monitorar")))</f>
        <v/>
      </c>
      <c r="M21" s="23"/>
      <c r="N21" s="23"/>
      <c r="O21" s="23"/>
      <c r="P21" s="23"/>
    </row>
    <row r="22" customFormat="false" ht="15" hidden="false" customHeight="false" outlineLevel="0" collapsed="false">
      <c r="A22" s="22" t="str">
        <f aca="false">IF(B22="","",COUNTA($B$6:B22))</f>
        <v/>
      </c>
      <c r="B22" s="23"/>
      <c r="C22" s="23"/>
      <c r="D22" s="23"/>
      <c r="E22" s="23"/>
      <c r="F22" s="23"/>
      <c r="G22" s="24"/>
      <c r="H22" s="24"/>
      <c r="I22" s="25" t="str">
        <f aca="false">IF(OR(G22="",H22=""),"",IF(G22&gt;=$G$3,IF(H22&gt;=$G$3,"Gerenciar de perto","Manter satisfeito"),IF(H22&gt;=$G$3,"Manter informado","Monitorar")))</f>
        <v/>
      </c>
      <c r="J22" s="24"/>
      <c r="K22" s="24"/>
      <c r="L22" s="25" t="str">
        <f aca="false">IF(OR(J22="",K22=""),"",IF(J22&gt;=$G$3,IF(K22&gt;=$G$3,"Gerenciar de perto","Manter satisfeito"),IF(K22&gt;=$G$3,"Manter informado","Monitorar")))</f>
        <v/>
      </c>
      <c r="M22" s="23"/>
      <c r="N22" s="23"/>
      <c r="O22" s="23"/>
      <c r="P22" s="23"/>
    </row>
    <row r="23" customFormat="false" ht="15" hidden="false" customHeight="false" outlineLevel="0" collapsed="false">
      <c r="A23" s="22" t="str">
        <f aca="false">IF(B23="","",COUNTA($B$6:B23))</f>
        <v/>
      </c>
      <c r="B23" s="23"/>
      <c r="C23" s="23"/>
      <c r="D23" s="23"/>
      <c r="E23" s="23"/>
      <c r="F23" s="23"/>
      <c r="G23" s="24"/>
      <c r="H23" s="24"/>
      <c r="I23" s="25" t="str">
        <f aca="false">IF(OR(G23="",H23=""),"",IF(G23&gt;=$G$3,IF(H23&gt;=$G$3,"Gerenciar de perto","Manter satisfeito"),IF(H23&gt;=$G$3,"Manter informado","Monitorar")))</f>
        <v/>
      </c>
      <c r="J23" s="24"/>
      <c r="K23" s="24"/>
      <c r="L23" s="25" t="str">
        <f aca="false">IF(OR(J23="",K23=""),"",IF(J23&gt;=$G$3,IF(K23&gt;=$G$3,"Gerenciar de perto","Manter satisfeito"),IF(K23&gt;=$G$3,"Manter informado","Monitorar")))</f>
        <v/>
      </c>
      <c r="M23" s="23"/>
      <c r="N23" s="23"/>
      <c r="O23" s="23"/>
      <c r="P23" s="23"/>
    </row>
    <row r="24" customFormat="false" ht="15" hidden="false" customHeight="false" outlineLevel="0" collapsed="false">
      <c r="A24" s="22" t="str">
        <f aca="false">IF(B24="","",COUNTA($B$6:B24))</f>
        <v/>
      </c>
      <c r="B24" s="23"/>
      <c r="C24" s="23"/>
      <c r="D24" s="23"/>
      <c r="E24" s="23"/>
      <c r="F24" s="23"/>
      <c r="G24" s="24"/>
      <c r="H24" s="24"/>
      <c r="I24" s="25" t="str">
        <f aca="false">IF(OR(G24="",H24=""),"",IF(G24&gt;=$G$3,IF(H24&gt;=$G$3,"Gerenciar de perto","Manter satisfeito"),IF(H24&gt;=$G$3,"Manter informado","Monitorar")))</f>
        <v/>
      </c>
      <c r="J24" s="24"/>
      <c r="K24" s="24"/>
      <c r="L24" s="25" t="str">
        <f aca="false">IF(OR(J24="",K24=""),"",IF(J24&gt;=$G$3,IF(K24&gt;=$G$3,"Gerenciar de perto","Manter satisfeito"),IF(K24&gt;=$G$3,"Manter informado","Monitorar")))</f>
        <v/>
      </c>
      <c r="M24" s="23"/>
      <c r="N24" s="23"/>
      <c r="O24" s="23"/>
      <c r="P24" s="23"/>
    </row>
    <row r="25" customFormat="false" ht="15" hidden="false" customHeight="false" outlineLevel="0" collapsed="false">
      <c r="A25" s="22" t="str">
        <f aca="false">IF(B25="","",COUNTA($B$6:B25))</f>
        <v/>
      </c>
      <c r="B25" s="23"/>
      <c r="C25" s="23"/>
      <c r="D25" s="23"/>
      <c r="E25" s="23"/>
      <c r="F25" s="23"/>
      <c r="G25" s="24"/>
      <c r="H25" s="24"/>
      <c r="I25" s="25" t="str">
        <f aca="false">IF(OR(G25="",H25=""),"",IF(G25&gt;=$G$3,IF(H25&gt;=$G$3,"Gerenciar de perto","Manter satisfeito"),IF(H25&gt;=$G$3,"Manter informado","Monitorar")))</f>
        <v/>
      </c>
      <c r="J25" s="24"/>
      <c r="K25" s="24"/>
      <c r="L25" s="25" t="str">
        <f aca="false">IF(OR(J25="",K25=""),"",IF(J25&gt;=$G$3,IF(K25&gt;=$G$3,"Gerenciar de perto","Manter satisfeito"),IF(K25&gt;=$G$3,"Manter informado","Monitorar")))</f>
        <v/>
      </c>
      <c r="M25" s="23"/>
      <c r="N25" s="23"/>
      <c r="O25" s="23"/>
      <c r="P25" s="23"/>
    </row>
  </sheetData>
  <autoFilter ref="A5:P25"/>
  <mergeCells count="5">
    <mergeCell ref="B3:F3"/>
    <mergeCell ref="A4:F4"/>
    <mergeCell ref="G4:I4"/>
    <mergeCell ref="J4:L4"/>
    <mergeCell ref="M4:P4"/>
  </mergeCells>
  <conditionalFormatting sqref="I6:I25 L6:L25">
    <cfRule type="expression" priority="2" aboveAverage="0" equalAverage="0" bottom="0" percent="0" rank="0" text="" dxfId="8">
      <formula>I6="Gerenciar de perto"</formula>
    </cfRule>
    <cfRule type="expression" priority="3" aboveAverage="0" equalAverage="0" bottom="0" percent="0" rank="0" text="" dxfId="9">
      <formula>I6="Manter satisfeito"</formula>
    </cfRule>
    <cfRule type="expression" priority="4" aboveAverage="0" equalAverage="0" bottom="0" percent="0" rank="0" text="" dxfId="10">
      <formula>I6="Manter informado"</formula>
    </cfRule>
    <cfRule type="expression" priority="5" aboveAverage="0" equalAverage="0" bottom="0" percent="0" rank="0" text="" dxfId="11">
      <formula>I6="Monitorar"</formula>
    </cfRule>
  </conditionalFormatting>
  <dataValidations count="2">
    <dataValidation allowBlank="true" errorStyle="stop" operator="between" showDropDown="false" showErrorMessage="false" showInputMessage="false" sqref="C6:C25" type="list">
      <formula1>"Fundadores,Consultoria,Consumidor final,Cliente B2B,Fornecedor,Parceiro,Regulador,Influenciador,Investidor,Outro"</formula1>
      <formula2>0</formula2>
    </dataValidation>
    <dataValidation allowBlank="true" error="Use um número inteiro de 1 a 5." errorStyle="stop" errorTitle="Nota inválida" operator="between" showDropDown="false" showErrorMessage="true" showInputMessage="false" sqref="G3 G6:H25 J6:K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7" min="3" style="0" width="19"/>
    <col collapsed="false" customWidth="true" hidden="false" outlineLevel="0" max="10" min="8" style="0" width="4"/>
    <col collapsed="false" customWidth="true" hidden="false" outlineLevel="0" max="15" min="11" style="0" width="19"/>
  </cols>
  <sheetData>
    <row r="1" customFormat="false" ht="19.7" hidden="false" customHeight="false" outlineLevel="0" collapsed="false">
      <c r="A1" s="16" t="s">
        <v>120</v>
      </c>
    </row>
    <row r="2" customFormat="false" ht="15" hidden="false" customHeight="false" outlineLevel="0" collapsed="false">
      <c r="A2" s="17" t="s">
        <v>121</v>
      </c>
      <c r="K2" s="26" t="s">
        <v>122</v>
      </c>
      <c r="L2" s="26"/>
      <c r="M2" s="26"/>
      <c r="N2" s="26"/>
      <c r="O2" s="27" t="n">
        <f aca="false">Stakeholders!$G$3</f>
        <v>3</v>
      </c>
    </row>
    <row r="4" customFormat="false" ht="25.5" hidden="false" customHeight="true" outlineLevel="0" collapsed="false">
      <c r="C4" s="28" t="s">
        <v>123</v>
      </c>
      <c r="D4" s="28"/>
      <c r="E4" s="28"/>
      <c r="F4" s="28"/>
      <c r="G4" s="28"/>
      <c r="K4" s="28" t="s">
        <v>124</v>
      </c>
      <c r="L4" s="28"/>
      <c r="M4" s="28"/>
      <c r="N4" s="28"/>
      <c r="O4" s="28"/>
    </row>
    <row r="5" customFormat="false" ht="61.5" hidden="false" customHeight="true" outlineLevel="0" collapsed="false">
      <c r="A5" s="29" t="s">
        <v>125</v>
      </c>
      <c r="B5" s="30" t="n">
        <v>5</v>
      </c>
      <c r="C5" s="31" t="str">
        <f aca="false" t="array" ref="C5:C5">_xlfn.TEXTJOIN(CHAR(10),TRUE(),IF((Stakeholders!$G$6:$G$25=$B5)*(Stakeholders!$H$6:$H$25=C$10),Stakeholders!$B$6:$B$25,""))</f>
        <v>Fornecedor do sachê biodegradável
Anvisa e vigilância sanitária</v>
      </c>
      <c r="D5" s="31" t="str">
        <f aca="false" t="array" ref="D5:D5">_xlfn.TEXTJOIN(CHAR(10),TRUE(),IF((Stakeholders!$G$6:$G$25=$B5)*(Stakeholders!$H$6:$H$25=D$10),Stakeholders!$B$6:$B$25,""))</f>
        <v/>
      </c>
      <c r="E5" s="31" t="str">
        <f aca="false" t="array" ref="E5:E5">_xlfn.TEXTJOIN(CHAR(10),TRUE(),IF((Stakeholders!$G$6:$G$25=$B5)*(Stakeholders!$H$6:$H$25=E$10),Stakeholders!$B$6:$B$25,""))</f>
        <v/>
      </c>
      <c r="F5" s="31" t="str">
        <f aca="false" t="array" ref="F5:F5">_xlfn.TEXTJOIN(CHAR(10),TRUE(),IF((Stakeholders!$G$6:$G$25=$B5)*(Stakeholders!$H$6:$H$25=F$10),Stakeholders!$B$6:$B$25,""))</f>
        <v/>
      </c>
      <c r="G5" s="31" t="str">
        <f aca="false" t="array" ref="G5:G5">_xlfn.TEXTJOIN(CHAR(10),TRUE(),IF((Stakeholders!$G$6:$G$25=$B5)*(Stakeholders!$H$6:$H$25=G$10),Stakeholders!$B$6:$B$25,""))</f>
        <v>Fundadores da WEEK</v>
      </c>
      <c r="I5" s="29" t="s">
        <v>125</v>
      </c>
      <c r="J5" s="30" t="n">
        <v>5</v>
      </c>
      <c r="K5" s="31" t="str">
        <f aca="false" t="array" ref="K5:K5">_xlfn.TEXTJOIN(CHAR(10),TRUE(),IF((Stakeholders!$J$6:$J$25=$J5)*(Stakeholders!$K$6:$K$25=K$10),Stakeholders!$B$6:$B$25,""))</f>
        <v/>
      </c>
      <c r="L5" s="31" t="str">
        <f aca="false" t="array" ref="L5:L5">_xlfn.TEXTJOIN(CHAR(10),TRUE(),IF((Stakeholders!$J$6:$J$25=$J5)*(Stakeholders!$K$6:$K$25=L$10),Stakeholders!$B$6:$B$25,""))</f>
        <v>Anvisa e vigilância sanitária</v>
      </c>
      <c r="M5" s="31" t="str">
        <f aca="false" t="array" ref="M5:M5">_xlfn.TEXTJOIN(CHAR(10),TRUE(),IF((Stakeholders!$J$6:$J$25=$J5)*(Stakeholders!$K$6:$K$25=M$10),Stakeholders!$B$6:$B$25,""))</f>
        <v/>
      </c>
      <c r="N5" s="31" t="str">
        <f aca="false" t="array" ref="N5:N5">_xlfn.TEXTJOIN(CHAR(10),TRUE(),IF((Stakeholders!$J$6:$J$25=$J5)*(Stakeholders!$K$6:$K$25=N$10),Stakeholders!$B$6:$B$25,""))</f>
        <v>Fornecedor do sachê biodegradável</v>
      </c>
      <c r="O5" s="31" t="str">
        <f aca="false" t="array" ref="O5:O5">_xlfn.TEXTJOIN(CHAR(10),TRUE(),IF((Stakeholders!$J$6:$J$25=$J5)*(Stakeholders!$K$6:$K$25=O$10),Stakeholders!$B$6:$B$25,""))</f>
        <v>Fundadores da WEEK</v>
      </c>
    </row>
    <row r="6" customFormat="false" ht="61.5" hidden="false" customHeight="true" outlineLevel="0" collapsed="false">
      <c r="A6" s="29"/>
      <c r="B6" s="30" t="n">
        <v>4</v>
      </c>
      <c r="C6" s="31" t="str">
        <f aca="false" t="array" ref="C6:C6">_xlfn.TEXTJOIN(CHAR(10),TRUE(),IF((Stakeholders!$G$6:$G$25=$B6)*(Stakeholders!$H$6:$H$25=C$10),Stakeholders!$B$6:$B$25,""))</f>
        <v>Fabricante terceirizado
Consumidor final</v>
      </c>
      <c r="D6" s="31" t="str">
        <f aca="false" t="array" ref="D6:D6">_xlfn.TEXTJOIN(CHAR(10),TRUE(),IF((Stakeholders!$G$6:$G$25=$B6)*(Stakeholders!$H$6:$H$25=D$10),Stakeholders!$B$6:$B$25,""))</f>
        <v/>
      </c>
      <c r="E6" s="31" t="str">
        <f aca="false" t="array" ref="E6:E6">_xlfn.TEXTJOIN(CHAR(10),TRUE(),IF((Stakeholders!$G$6:$G$25=$B6)*(Stakeholders!$H$6:$H$25=E$10),Stakeholders!$B$6:$B$25,""))</f>
        <v/>
      </c>
      <c r="F6" s="31" t="str">
        <f aca="false" t="array" ref="F6:F6">_xlfn.TEXTJOIN(CHAR(10),TRUE(),IF((Stakeholders!$G$6:$G$25=$B6)*(Stakeholders!$H$6:$H$25=F$10),Stakeholders!$B$6:$B$25,""))</f>
        <v/>
      </c>
      <c r="G6" s="31" t="str">
        <f aca="false" t="array" ref="G6:G6">_xlfn.TEXTJOIN(CHAR(10),TRUE(),IF((Stakeholders!$G$6:$G$25=$B6)*(Stakeholders!$H$6:$H$25=G$10),Stakeholders!$B$6:$B$25,""))</f>
        <v/>
      </c>
      <c r="I6" s="29"/>
      <c r="J6" s="30" t="n">
        <v>4</v>
      </c>
      <c r="K6" s="31" t="str">
        <f aca="false" t="array" ref="K6:K6">_xlfn.TEXTJOIN(CHAR(10),TRUE(),IF((Stakeholders!$J$6:$J$25=$J6)*(Stakeholders!$K$6:$K$25=K$10),Stakeholders!$B$6:$B$25,""))</f>
        <v/>
      </c>
      <c r="L6" s="31" t="str">
        <f aca="false" t="array" ref="L6:L6">_xlfn.TEXTJOIN(CHAR(10),TRUE(),IF((Stakeholders!$J$6:$J$25=$J6)*(Stakeholders!$K$6:$K$25=L$10),Stakeholders!$B$6:$B$25,""))</f>
        <v/>
      </c>
      <c r="M6" s="31" t="str">
        <f aca="false" t="array" ref="M6:M6">_xlfn.TEXTJOIN(CHAR(10),TRUE(),IF((Stakeholders!$J$6:$J$25=$J6)*(Stakeholders!$K$6:$K$25=M$10),Stakeholders!$B$6:$B$25,""))</f>
        <v/>
      </c>
      <c r="N6" s="31" t="str">
        <f aca="false" t="array" ref="N6:N6">_xlfn.TEXTJOIN(CHAR(10),TRUE(),IF((Stakeholders!$J$6:$J$25=$J6)*(Stakeholders!$K$6:$K$25=N$10),Stakeholders!$B$6:$B$25,""))</f>
        <v>Fabricante terceirizado
Consumidor final</v>
      </c>
      <c r="O6" s="31" t="str">
        <f aca="false" t="array" ref="O6:O6">_xlfn.TEXTJOIN(CHAR(10),TRUE(),IF((Stakeholders!$J$6:$J$25=$J6)*(Stakeholders!$K$6:$K$25=O$10),Stakeholders!$B$6:$B$25,""))</f>
        <v>Esag Jr.</v>
      </c>
    </row>
    <row r="7" customFormat="false" ht="61.5" hidden="false" customHeight="true" outlineLevel="0" collapsed="false">
      <c r="A7" s="29"/>
      <c r="B7" s="30" t="n">
        <v>3</v>
      </c>
      <c r="C7" s="31" t="str">
        <f aca="false" t="array" ref="C7:C7">_xlfn.TEXTJOIN(CHAR(10),TRUE(),IF((Stakeholders!$G$6:$G$25=$B7)*(Stakeholders!$H$6:$H$25=C$10),Stakeholders!$B$6:$B$25,""))</f>
        <v/>
      </c>
      <c r="D7" s="31" t="str">
        <f aca="false" t="array" ref="D7:D7">_xlfn.TEXTJOIN(CHAR(10),TRUE(),IF((Stakeholders!$G$6:$G$25=$B7)*(Stakeholders!$H$6:$H$25=D$10),Stakeholders!$B$6:$B$25,""))</f>
        <v>Farma Júnior</v>
      </c>
      <c r="E7" s="31" t="str">
        <f aca="false" t="array" ref="E7:E7">_xlfn.TEXTJOIN(CHAR(10),TRUE(),IF((Stakeholders!$G$6:$G$25=$B7)*(Stakeholders!$H$6:$H$25=E$10),Stakeholders!$B$6:$B$25,""))</f>
        <v/>
      </c>
      <c r="F7" s="31" t="str">
        <f aca="false" t="array" ref="F7:F7">_xlfn.TEXTJOIN(CHAR(10),TRUE(),IF((Stakeholders!$G$6:$G$25=$B7)*(Stakeholders!$H$6:$H$25=F$10),Stakeholders!$B$6:$B$25,""))</f>
        <v/>
      </c>
      <c r="G7" s="31" t="str">
        <f aca="false" t="array" ref="G7:G7">_xlfn.TEXTJOIN(CHAR(10),TRUE(),IF((Stakeholders!$G$6:$G$25=$B7)*(Stakeholders!$H$6:$H$25=G$10),Stakeholders!$B$6:$B$25,""))</f>
        <v>Esag Jr.</v>
      </c>
      <c r="I7" s="29"/>
      <c r="J7" s="30" t="n">
        <v>3</v>
      </c>
      <c r="K7" s="31" t="str">
        <f aca="false" t="array" ref="K7:K7">_xlfn.TEXTJOIN(CHAR(10),TRUE(),IF((Stakeholders!$J$6:$J$25=$J7)*(Stakeholders!$K$6:$K$25=K$10),Stakeholders!$B$6:$B$25,""))</f>
        <v/>
      </c>
      <c r="L7" s="31" t="str">
        <f aca="false" t="array" ref="L7:L7">_xlfn.TEXTJOIN(CHAR(10),TRUE(),IF((Stakeholders!$J$6:$J$25=$J7)*(Stakeholders!$K$6:$K$25=L$10),Stakeholders!$B$6:$B$25,""))</f>
        <v/>
      </c>
      <c r="M7" s="31" t="str">
        <f aca="false" t="array" ref="M7:M7">_xlfn.TEXTJOIN(CHAR(10),TRUE(),IF((Stakeholders!$J$6:$J$25=$J7)*(Stakeholders!$K$6:$K$25=M$10),Stakeholders!$B$6:$B$25,""))</f>
        <v/>
      </c>
      <c r="N7" s="31" t="str">
        <f aca="false" t="array" ref="N7:N7">_xlfn.TEXTJOIN(CHAR(10),TRUE(),IF((Stakeholders!$J$6:$J$25=$J7)*(Stakeholders!$K$6:$K$25=N$10),Stakeholders!$B$6:$B$25,""))</f>
        <v>Farma Júnior
Academias e hotéis</v>
      </c>
      <c r="O7" s="31" t="str">
        <f aca="false" t="array" ref="O7:O7">_xlfn.TEXTJOIN(CHAR(10),TRUE(),IF((Stakeholders!$J$6:$J$25=$J7)*(Stakeholders!$K$6:$K$25=O$10),Stakeholders!$B$6:$B$25,""))</f>
        <v/>
      </c>
    </row>
    <row r="8" customFormat="false" ht="61.5" hidden="false" customHeight="true" outlineLevel="0" collapsed="false">
      <c r="A8" s="29"/>
      <c r="B8" s="30" t="n">
        <v>2</v>
      </c>
      <c r="C8" s="31" t="str">
        <f aca="false" t="array" ref="C8:C8">_xlfn.TEXTJOIN(CHAR(10),TRUE(),IF((Stakeholders!$G$6:$G$25=$B8)*(Stakeholders!$H$6:$H$25=C$10),Stakeholders!$B$6:$B$25,""))</f>
        <v>Academias e hotéis</v>
      </c>
      <c r="D8" s="31" t="str">
        <f aca="false" t="array" ref="D8:D8">_xlfn.TEXTJOIN(CHAR(10),TRUE(),IF((Stakeholders!$G$6:$G$25=$B8)*(Stakeholders!$H$6:$H$25=D$10),Stakeholders!$B$6:$B$25,""))</f>
        <v/>
      </c>
      <c r="E8" s="31" t="str">
        <f aca="false" t="array" ref="E8:E8">_xlfn.TEXTJOIN(CHAR(10),TRUE(),IF((Stakeholders!$G$6:$G$25=$B8)*(Stakeholders!$H$6:$H$25=E$10),Stakeholders!$B$6:$B$25,""))</f>
        <v/>
      </c>
      <c r="F8" s="31" t="str">
        <f aca="false" t="array" ref="F8:F8">_xlfn.TEXTJOIN(CHAR(10),TRUE(),IF((Stakeholders!$G$6:$G$25=$B8)*(Stakeholders!$H$6:$H$25=F$10),Stakeholders!$B$6:$B$25,""))</f>
        <v/>
      </c>
      <c r="G8" s="31" t="str">
        <f aca="false" t="array" ref="G8:G8">_xlfn.TEXTJOIN(CHAR(10),TRUE(),IF((Stakeholders!$G$6:$G$25=$B8)*(Stakeholders!$H$6:$H$25=G$10),Stakeholders!$B$6:$B$25,""))</f>
        <v/>
      </c>
      <c r="I8" s="29"/>
      <c r="J8" s="30" t="n">
        <v>2</v>
      </c>
      <c r="K8" s="31" t="str">
        <f aca="false" t="array" ref="K8:K8">_xlfn.TEXTJOIN(CHAR(10),TRUE(),IF((Stakeholders!$J$6:$J$25=$J8)*(Stakeholders!$K$6:$K$25=K$10),Stakeholders!$B$6:$B$25,""))</f>
        <v/>
      </c>
      <c r="L8" s="31" t="str">
        <f aca="false" t="array" ref="L8:L8">_xlfn.TEXTJOIN(CHAR(10),TRUE(),IF((Stakeholders!$J$6:$J$25=$J8)*(Stakeholders!$K$6:$K$25=L$10),Stakeholders!$B$6:$B$25,""))</f>
        <v/>
      </c>
      <c r="M8" s="31" t="str">
        <f aca="false" t="array" ref="M8:M8">_xlfn.TEXTJOIN(CHAR(10),TRUE(),IF((Stakeholders!$J$6:$J$25=$J8)*(Stakeholders!$K$6:$K$25=M$10),Stakeholders!$B$6:$B$25,""))</f>
        <v/>
      </c>
      <c r="N8" s="31" t="str">
        <f aca="false" t="array" ref="N8:N8">_xlfn.TEXTJOIN(CHAR(10),TRUE(),IF((Stakeholders!$J$6:$J$25=$J8)*(Stakeholders!$K$6:$K$25=N$10),Stakeholders!$B$6:$B$25,""))</f>
        <v/>
      </c>
      <c r="O8" s="31" t="str">
        <f aca="false" t="array" ref="O8:O8">_xlfn.TEXTJOIN(CHAR(10),TRUE(),IF((Stakeholders!$J$6:$J$25=$J8)*(Stakeholders!$K$6:$K$25=O$10),Stakeholders!$B$6:$B$25,""))</f>
        <v/>
      </c>
    </row>
    <row r="9" customFormat="false" ht="61.5" hidden="false" customHeight="true" outlineLevel="0" collapsed="false">
      <c r="A9" s="29"/>
      <c r="B9" s="30" t="n">
        <v>1</v>
      </c>
      <c r="C9" s="31" t="str">
        <f aca="false" t="array" ref="C9:C9">_xlfn.TEXTJOIN(CHAR(10),TRUE(),IF((Stakeholders!$G$6:$G$25=$B9)*(Stakeholders!$H$6:$H$25=C$10),Stakeholders!$B$6:$B$25,""))</f>
        <v/>
      </c>
      <c r="D9" s="31" t="str">
        <f aca="false" t="array" ref="D9:D9">_xlfn.TEXTJOIN(CHAR(10),TRUE(),IF((Stakeholders!$G$6:$G$25=$B9)*(Stakeholders!$H$6:$H$25=D$10),Stakeholders!$B$6:$B$25,""))</f>
        <v/>
      </c>
      <c r="E9" s="31" t="str">
        <f aca="false" t="array" ref="E9:E9">_xlfn.TEXTJOIN(CHAR(10),TRUE(),IF((Stakeholders!$G$6:$G$25=$B9)*(Stakeholders!$H$6:$H$25=E$10),Stakeholders!$B$6:$B$25,""))</f>
        <v/>
      </c>
      <c r="F9" s="31" t="str">
        <f aca="false" t="array" ref="F9:F9">_xlfn.TEXTJOIN(CHAR(10),TRUE(),IF((Stakeholders!$G$6:$G$25=$B9)*(Stakeholders!$H$6:$H$25=F$10),Stakeholders!$B$6:$B$25,""))</f>
        <v/>
      </c>
      <c r="G9" s="31" t="str">
        <f aca="false" t="array" ref="G9:G9">_xlfn.TEXTJOIN(CHAR(10),TRUE(),IF((Stakeholders!$G$6:$G$25=$B9)*(Stakeholders!$H$6:$H$25=G$10),Stakeholders!$B$6:$B$25,""))</f>
        <v/>
      </c>
      <c r="I9" s="29"/>
      <c r="J9" s="30" t="n">
        <v>1</v>
      </c>
      <c r="K9" s="31" t="str">
        <f aca="false" t="array" ref="K9:K9">_xlfn.TEXTJOIN(CHAR(10),TRUE(),IF((Stakeholders!$J$6:$J$25=$J9)*(Stakeholders!$K$6:$K$25=K$10),Stakeholders!$B$6:$B$25,""))</f>
        <v/>
      </c>
      <c r="L9" s="31" t="str">
        <f aca="false" t="array" ref="L9:L9">_xlfn.TEXTJOIN(CHAR(10),TRUE(),IF((Stakeholders!$J$6:$J$25=$J9)*(Stakeholders!$K$6:$K$25=L$10),Stakeholders!$B$6:$B$25,""))</f>
        <v/>
      </c>
      <c r="M9" s="31" t="str">
        <f aca="false" t="array" ref="M9:M9">_xlfn.TEXTJOIN(CHAR(10),TRUE(),IF((Stakeholders!$J$6:$J$25=$J9)*(Stakeholders!$K$6:$K$25=M$10),Stakeholders!$B$6:$B$25,""))</f>
        <v/>
      </c>
      <c r="N9" s="31" t="str">
        <f aca="false" t="array" ref="N9:N9">_xlfn.TEXTJOIN(CHAR(10),TRUE(),IF((Stakeholders!$J$6:$J$25=$J9)*(Stakeholders!$K$6:$K$25=N$10),Stakeholders!$B$6:$B$25,""))</f>
        <v/>
      </c>
      <c r="O9" s="31" t="str">
        <f aca="false" t="array" ref="O9:O9">_xlfn.TEXTJOIN(CHAR(10),TRUE(),IF((Stakeholders!$J$6:$J$25=$J9)*(Stakeholders!$K$6:$K$25=O$10),Stakeholders!$B$6:$B$25,""))</f>
        <v/>
      </c>
    </row>
    <row r="10" customFormat="false" ht="15" hidden="false" customHeight="false" outlineLevel="0" collapsed="false">
      <c r="C10" s="32" t="n">
        <v>1</v>
      </c>
      <c r="D10" s="32" t="n">
        <v>2</v>
      </c>
      <c r="E10" s="32" t="n">
        <v>3</v>
      </c>
      <c r="F10" s="32" t="n">
        <v>4</v>
      </c>
      <c r="G10" s="32" t="n">
        <v>5</v>
      </c>
      <c r="K10" s="32" t="n">
        <v>1</v>
      </c>
      <c r="L10" s="32" t="n">
        <v>2</v>
      </c>
      <c r="M10" s="32" t="n">
        <v>3</v>
      </c>
      <c r="N10" s="32" t="n">
        <v>4</v>
      </c>
      <c r="O10" s="32" t="n">
        <v>5</v>
      </c>
    </row>
    <row r="11" customFormat="false" ht="15" hidden="false" customHeight="true" outlineLevel="0" collapsed="false">
      <c r="C11" s="33" t="s">
        <v>126</v>
      </c>
      <c r="D11" s="33"/>
      <c r="E11" s="33"/>
      <c r="F11" s="33"/>
      <c r="G11" s="33"/>
      <c r="K11" s="33" t="s">
        <v>126</v>
      </c>
      <c r="L11" s="33"/>
      <c r="M11" s="33"/>
      <c r="N11" s="33"/>
      <c r="O11" s="33"/>
    </row>
    <row r="13" customFormat="false" ht="15" hidden="false" customHeight="true" outlineLevel="0" collapsed="false">
      <c r="C13" s="34" t="s">
        <v>29</v>
      </c>
      <c r="D13" s="34"/>
      <c r="E13" s="34" t="s">
        <v>31</v>
      </c>
      <c r="F13" s="34"/>
      <c r="G13" s="34"/>
      <c r="K13" s="34" t="s">
        <v>127</v>
      </c>
      <c r="L13" s="34"/>
      <c r="M13" s="34" t="s">
        <v>128</v>
      </c>
      <c r="N13" s="34"/>
    </row>
    <row r="14" customFormat="false" ht="30" hidden="false" customHeight="true" outlineLevel="0" collapsed="false">
      <c r="C14" s="9" t="s">
        <v>32</v>
      </c>
      <c r="D14" s="9"/>
      <c r="E14" s="35" t="s">
        <v>129</v>
      </c>
      <c r="F14" s="35"/>
      <c r="G14" s="35"/>
      <c r="K14" s="36" t="n">
        <f aca="false">COUNTIF(Stakeholders!$I$6:$I$25,C14)</f>
        <v>2</v>
      </c>
      <c r="L14" s="36"/>
      <c r="M14" s="36" t="n">
        <f aca="false">COUNTIF(Stakeholders!$L$6:$L$25,C14)</f>
        <v>7</v>
      </c>
      <c r="N14" s="36"/>
    </row>
    <row r="15" customFormat="false" ht="30" hidden="false" customHeight="true" outlineLevel="0" collapsed="false">
      <c r="C15" s="12" t="s">
        <v>35</v>
      </c>
      <c r="D15" s="12"/>
      <c r="E15" s="35" t="s">
        <v>130</v>
      </c>
      <c r="F15" s="35"/>
      <c r="G15" s="35"/>
      <c r="K15" s="36" t="n">
        <f aca="false">COUNTIF(Stakeholders!$I$6:$I$25,C15)</f>
        <v>5</v>
      </c>
      <c r="L15" s="36"/>
      <c r="M15" s="36" t="n">
        <f aca="false">COUNTIF(Stakeholders!$L$6:$L$25,C15)</f>
        <v>1</v>
      </c>
      <c r="N15" s="36"/>
    </row>
    <row r="16" customFormat="false" ht="30" hidden="false" customHeight="true" outlineLevel="0" collapsed="false">
      <c r="C16" s="13" t="s">
        <v>38</v>
      </c>
      <c r="D16" s="13"/>
      <c r="E16" s="35" t="s">
        <v>131</v>
      </c>
      <c r="F16" s="35"/>
      <c r="G16" s="35"/>
      <c r="K16" s="36" t="n">
        <f aca="false">COUNTIF(Stakeholders!$I$6:$I$25,C16)</f>
        <v>0</v>
      </c>
      <c r="L16" s="36"/>
      <c r="M16" s="36" t="n">
        <f aca="false">COUNTIF(Stakeholders!$L$6:$L$25,C16)</f>
        <v>0</v>
      </c>
      <c r="N16" s="36"/>
    </row>
    <row r="17" customFormat="false" ht="30" hidden="false" customHeight="true" outlineLevel="0" collapsed="false">
      <c r="C17" s="14" t="s">
        <v>41</v>
      </c>
      <c r="D17" s="14"/>
      <c r="E17" s="35" t="s">
        <v>132</v>
      </c>
      <c r="F17" s="35"/>
      <c r="G17" s="35"/>
      <c r="K17" s="36" t="n">
        <f aca="false">COUNTIF(Stakeholders!$I$6:$I$25,C17)</f>
        <v>1</v>
      </c>
      <c r="L17" s="36"/>
      <c r="M17" s="36" t="n">
        <f aca="false">COUNTIF(Stakeholders!$L$6:$L$25,C17)</f>
        <v>0</v>
      </c>
      <c r="N17" s="36"/>
    </row>
  </sheetData>
  <mergeCells count="27">
    <mergeCell ref="K2:N2"/>
    <mergeCell ref="C4:G4"/>
    <mergeCell ref="K4:O4"/>
    <mergeCell ref="A5:A9"/>
    <mergeCell ref="I5:I9"/>
    <mergeCell ref="C11:G11"/>
    <mergeCell ref="K11:O11"/>
    <mergeCell ref="C13:D13"/>
    <mergeCell ref="E13:G13"/>
    <mergeCell ref="K13:L13"/>
    <mergeCell ref="M13:N13"/>
    <mergeCell ref="C14:D14"/>
    <mergeCell ref="E14:G14"/>
    <mergeCell ref="K14:L14"/>
    <mergeCell ref="M14:N14"/>
    <mergeCell ref="C15:D15"/>
    <mergeCell ref="E15:G15"/>
    <mergeCell ref="K15:L15"/>
    <mergeCell ref="M15:N15"/>
    <mergeCell ref="C16:D16"/>
    <mergeCell ref="E16:G16"/>
    <mergeCell ref="K16:L16"/>
    <mergeCell ref="M16:N16"/>
    <mergeCell ref="C17:D17"/>
    <mergeCell ref="E17:G17"/>
    <mergeCell ref="K17:L17"/>
    <mergeCell ref="M17:N17"/>
  </mergeCells>
  <conditionalFormatting sqref="C5:G9">
    <cfRule type="expression" priority="2" aboveAverage="0" equalAverage="0" bottom="0" percent="0" rank="0" text="" dxfId="8">
      <formula>AND($B5&gt;=$O$2,C$10&gt;=$O$2)</formula>
    </cfRule>
    <cfRule type="expression" priority="3" aboveAverage="0" equalAverage="0" bottom="0" percent="0" rank="0" text="" dxfId="9">
      <formula>AND($B5&gt;=$O$2,C$10&lt;$O$2)</formula>
    </cfRule>
    <cfRule type="expression" priority="4" aboveAverage="0" equalAverage="0" bottom="0" percent="0" rank="0" text="" dxfId="10">
      <formula>AND($B5&lt;$O$2,C$10&gt;=$O$2)</formula>
    </cfRule>
    <cfRule type="expression" priority="5" aboveAverage="0" equalAverage="0" bottom="0" percent="0" rank="0" text="" dxfId="11">
      <formula>AND($B5&lt;$O$2,C$10&lt;$O$2)</formula>
    </cfRule>
  </conditionalFormatting>
  <conditionalFormatting sqref="K5:O9">
    <cfRule type="expression" priority="6" aboveAverage="0" equalAverage="0" bottom="0" percent="0" rank="0" text="" dxfId="8">
      <formula>AND($J5&gt;=$O$2,K$10&gt;=$O$2)</formula>
    </cfRule>
    <cfRule type="expression" priority="7" aboveAverage="0" equalAverage="0" bottom="0" percent="0" rank="0" text="" dxfId="9">
      <formula>AND($J5&gt;=$O$2,K$10&lt;$O$2)</formula>
    </cfRule>
    <cfRule type="expression" priority="8" aboveAverage="0" equalAverage="0" bottom="0" percent="0" rank="0" text="" dxfId="10">
      <formula>AND($J5&lt;$O$2,K$10&gt;=$O$2)</formula>
    </cfRule>
    <cfRule type="expression" priority="9" aboveAverage="0" equalAverage="0" bottom="0" percent="0" rank="0" text="" dxfId="11">
      <formula>AND($J5&lt;$O$2,K$10&lt;$O$2)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2026-10-16T00:36:27Z</dcterms:created>
  <dc:creator>openpyxl</dc:creator>
  <dc:description/>
  <dc:language>en-US</dc:language>
  <cp:lastModifiedBy/>
  <dcterms:modified xsi:type="dcterms:W3CDTF">2026-10-16T00:36:28Z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