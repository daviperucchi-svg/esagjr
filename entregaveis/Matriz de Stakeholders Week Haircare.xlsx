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Stakeholders" sheetId="2" state="visible" r:id="rId2"/>
    <sheet xmlns:r="http://schemas.openxmlformats.org/officeDocument/2006/relationships" name="Matriz AS IS e TO BE" sheetId="3" state="visible" r:id="rId3"/>
  </sheets>
  <definedNames>
    <definedName name="_xlnm._FilterDatabase" localSheetId="1" hidden="1">'Stakeholders'!$A$5:$P$25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Montserrat"/>
      <b val="1"/>
      <color rgb="00082F66"/>
      <sz val="18"/>
    </font>
    <font>
      <name val="Montserrat"/>
      <color rgb="007F7F7F"/>
      <sz val="10"/>
    </font>
    <font>
      <name val="Montserrat"/>
      <b val="1"/>
      <color rgb="00082F66"/>
      <sz val="12"/>
    </font>
    <font>
      <name val="Montserrat"/>
      <color rgb="00262626"/>
      <sz val="10"/>
    </font>
    <font>
      <name val="Montserrat"/>
      <b val="1"/>
      <color rgb="00FFFFFF"/>
      <sz val="10"/>
    </font>
    <font>
      <name val="Montserrat"/>
      <b val="1"/>
      <color rgb="00082F66"/>
      <sz val="10"/>
    </font>
    <font>
      <name val="Montserrat"/>
      <i val="1"/>
      <color rgb="007F7F7F"/>
      <sz val="9"/>
    </font>
    <font>
      <name val="Montserrat"/>
      <b val="1"/>
      <color rgb="00082F66"/>
      <sz val="16"/>
    </font>
    <font>
      <name val="Montserrat"/>
      <color rgb="007F7F7F"/>
      <sz val="9"/>
    </font>
    <font>
      <name val="Montserrat"/>
      <b val="1"/>
      <color rgb="00082F66"/>
      <sz val="9"/>
    </font>
    <font>
      <name val="Montserrat"/>
      <b val="1"/>
      <color rgb="00FFFFFF"/>
      <sz val="12"/>
    </font>
    <font>
      <name val="Montserrat"/>
      <color rgb="00262626"/>
      <sz val="9"/>
    </font>
    <font>
      <name val="Montserrat"/>
      <b val="1"/>
      <color rgb="00082F66"/>
      <sz val="11"/>
    </font>
  </fonts>
  <fills count="9">
    <fill>
      <patternFill/>
    </fill>
    <fill>
      <patternFill patternType="gray125"/>
    </fill>
    <fill>
      <patternFill patternType="solid">
        <fgColor rgb="00EAF1FA"/>
        <bgColor rgb="00EAF1FA"/>
      </patternFill>
    </fill>
    <fill>
      <patternFill patternType="solid">
        <fgColor rgb="00F2F2F2"/>
        <bgColor rgb="00F2F2F2"/>
      </patternFill>
    </fill>
    <fill>
      <patternFill patternType="solid">
        <fgColor rgb="00082F66"/>
        <bgColor rgb="00082F66"/>
      </patternFill>
    </fill>
    <fill>
      <patternFill patternType="solid">
        <fgColor rgb="002A6DB8"/>
        <bgColor rgb="002A6DB8"/>
      </patternFill>
    </fill>
    <fill>
      <patternFill patternType="solid">
        <fgColor rgb="008DB3E2"/>
        <bgColor rgb="008DB3E2"/>
      </patternFill>
    </fill>
    <fill>
      <patternFill patternType="solid">
        <fgColor rgb="00DCE6F2"/>
        <bgColor rgb="00DCE6F2"/>
      </patternFill>
    </fill>
    <fill>
      <patternFill patternType="solid">
        <fgColor rgb="000857A0"/>
        <bgColor rgb="000857A0"/>
      </patternFill>
    </fill>
  </fills>
  <borders count="6">
    <border>
      <left/>
      <right/>
      <top/>
      <bottom/>
      <diagonal/>
    </border>
    <border>
      <bottom style="medium">
        <color rgb="00082F66"/>
      </bottom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FFFFFF"/>
      </left>
      <right style="thin">
        <color rgb="00FFFFFF"/>
      </right>
    </border>
    <border>
      <top style="medium">
        <color rgb="00082F66"/>
      </top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4" fillId="0" borderId="0" applyAlignment="1" pivotButton="0" quotePrefix="0" xfId="0">
      <alignment vertical="top" wrapText="1"/>
    </xf>
    <xf numFmtId="0" fontId="0" fillId="2" borderId="2" pivotButton="0" quotePrefix="0" xfId="0"/>
    <xf numFmtId="0" fontId="4" fillId="0" borderId="0" pivotButton="0" quotePrefix="0" xfId="0"/>
    <xf numFmtId="0" fontId="0" fillId="3" borderId="2" pivotButton="0" quotePrefix="0" xfId="0"/>
    <xf numFmtId="0" fontId="5" fillId="4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right" vertical="center"/>
    </xf>
    <xf numFmtId="0" fontId="6" fillId="2" borderId="2" applyAlignment="1" pivotButton="0" quotePrefix="0" xfId="0">
      <alignment horizontal="center" vertical="center" wrapText="1"/>
    </xf>
    <xf numFmtId="0" fontId="5" fillId="8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5" fillId="4" borderId="3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vertical="top" wrapText="1"/>
    </xf>
    <xf numFmtId="0" fontId="4" fillId="2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center"/>
    </xf>
    <xf numFmtId="0" fontId="6" fillId="3" borderId="0" applyAlignment="1" pivotButton="0" quotePrefix="0" xfId="0">
      <alignment horizontal="center" vertical="center" wrapText="1"/>
    </xf>
    <xf numFmtId="0" fontId="11" fillId="4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center" vertical="center" textRotation="90"/>
    </xf>
    <xf numFmtId="0" fontId="6" fillId="0" borderId="0" applyAlignment="1" pivotButton="0" quotePrefix="0" xfId="0">
      <alignment horizontal="center" vertical="center" wrapText="1"/>
    </xf>
    <xf numFmtId="0" fontId="12" fillId="0" borderId="5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0" fontId="0" fillId="0" borderId="2" pivotButton="0" quotePrefix="0" xfId="0"/>
    <xf numFmtId="0" fontId="12" fillId="0" borderId="2" applyAlignment="1" pivotButton="0" quotePrefix="0" xfId="0">
      <alignment vertical="center" wrapText="1"/>
    </xf>
    <xf numFmtId="0" fontId="13" fillId="0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4">
    <dxf>
      <font>
        <name val="Montserrat"/>
        <b val="1"/>
        <color rgb="00FFFFFF"/>
      </font>
      <fill>
        <patternFill patternType="solid">
          <fgColor rgb="00082F66"/>
          <bgColor rgb="00082F66"/>
        </patternFill>
      </fill>
    </dxf>
    <dxf>
      <font>
        <name val="Montserrat"/>
        <b val="1"/>
        <color rgb="00FFFFFF"/>
      </font>
      <fill>
        <patternFill patternType="solid">
          <fgColor rgb="002A6DB8"/>
          <bgColor rgb="002A6DB8"/>
        </patternFill>
      </fill>
    </dxf>
    <dxf>
      <font>
        <name val="Montserrat"/>
        <b val="1"/>
        <color rgb="00082F66"/>
      </font>
      <fill>
        <patternFill patternType="solid">
          <fgColor rgb="008DB3E2"/>
          <bgColor rgb="008DB3E2"/>
        </patternFill>
      </fill>
    </dxf>
    <dxf>
      <font>
        <name val="Montserrat"/>
        <b val="1"/>
        <color rgb="00082F66"/>
      </font>
      <fill>
        <patternFill patternType="solid">
          <fgColor rgb="00DCE6F2"/>
          <bgColor rgb="00DCE6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D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46" customWidth="1" min="3" max="3"/>
    <col width="46" customWidth="1" min="4" max="4"/>
  </cols>
  <sheetData>
    <row r="1">
      <c r="B1" s="1" t="inlineStr">
        <is>
          <t>Matriz de Stakeholders da WEEK</t>
        </is>
      </c>
    </row>
    <row r="2">
      <c r="B2" s="2" t="inlineStr">
        <is>
          <t>Estudo de viabilidade | Esag Jr. Consultoria em Administração</t>
        </is>
      </c>
    </row>
    <row r="4">
      <c r="B4" s="3" t="inlineStr">
        <is>
          <t>O que é</t>
        </is>
      </c>
      <c r="C4" s="4" t="n"/>
      <c r="D4" s="4" t="n"/>
    </row>
    <row r="5" ht="48" customHeight="1">
      <c r="B5" s="5" t="inlineStr">
        <is>
          <t>A matriz mostra quem pode influenciar o negócio da WEEK ou ser afetado por ele. Cada stakeholder recebe uma nota de poder (eixo Y) e outra de interesse (eixo X) em dois momentos: AS IS, a situação de hoje, e TO BE, a situação de que a WEEK precisa para lançar o kit.</t>
        </is>
      </c>
    </row>
    <row r="7">
      <c r="B7" s="3" t="inlineStr">
        <is>
          <t>Por que fazer para a WEEK</t>
        </is>
      </c>
      <c r="C7" s="4" t="n"/>
      <c r="D7" s="4" t="n"/>
    </row>
    <row r="8" ht="48" customHeight="1">
      <c r="B8" s="5" t="inlineStr">
        <is>
          <t>Como a WEEK ainda não entrou no mercado, quase todos os stakeholders externos ainda não conhecem a marca. O AS IS registra esse ponto de partida. O TO BE mostra quem precisa estar engajado até o lançamento e a coluna de ações diz como chegar lá, ligando cada passo à Matriz CSD.</t>
        </is>
      </c>
    </row>
    <row r="10">
      <c r="B10" s="3" t="inlineStr">
        <is>
          <t>Como preencher</t>
        </is>
      </c>
      <c r="C10" s="4" t="n"/>
      <c r="D10" s="4" t="n"/>
    </row>
    <row r="11" ht="18" customHeight="1">
      <c r="B11" s="5" t="inlineStr">
        <is>
          <t>1. Na aba Stakeholders, edite as células em azul claro, uma linha por stakeholder.</t>
        </is>
      </c>
    </row>
    <row r="12" ht="18" customHeight="1">
      <c r="B12" s="5" t="inlineStr">
        <is>
          <t>2. Dê notas de 1 a 5 para Poder e Interesse no AS IS e no TO BE, usando a escala abaixo.</t>
        </is>
      </c>
    </row>
    <row r="13" ht="18" customHeight="1">
      <c r="B13" s="5" t="inlineStr">
        <is>
          <t>3. Os quadrantes são calculados sozinhos e cada nome aparece na aba Matriz AS IS e TO BE.</t>
        </is>
      </c>
    </row>
    <row r="14" ht="30" customHeight="1">
      <c r="B14" s="5" t="inlineStr">
        <is>
          <t>4. As notas são a avaliação da equipe a partir do PESTALD, de Tendências e Referências, da análise de concorrentes, da curva de valor e da Matriz ERAC. Os itens da Matriz CSD seguem a redação desses documentos.</t>
        </is>
      </c>
    </row>
    <row r="16">
      <c r="B16" s="3" t="inlineStr">
        <is>
          <t>Legenda</t>
        </is>
      </c>
      <c r="C16" s="4" t="n"/>
      <c r="D16" s="4" t="n"/>
    </row>
    <row r="17">
      <c r="B17" s="6" t="n"/>
      <c r="C17" s="7" t="inlineStr">
        <is>
          <t>Célula para editar</t>
        </is>
      </c>
    </row>
    <row r="18">
      <c r="B18" s="8" t="n"/>
      <c r="C18" s="7" t="inlineStr">
        <is>
          <t>Célula calculada, não edite</t>
        </is>
      </c>
    </row>
    <row r="20">
      <c r="B20" s="3" t="inlineStr">
        <is>
          <t>Escala de notas</t>
        </is>
      </c>
      <c r="C20" s="4" t="n"/>
      <c r="D20" s="4" t="n"/>
    </row>
    <row r="21">
      <c r="B21" s="9" t="inlineStr">
        <is>
          <t>Nota</t>
        </is>
      </c>
      <c r="C21" s="9" t="inlineStr">
        <is>
          <t>Poder sobre o negócio (eixo Y)</t>
        </is>
      </c>
      <c r="D21" s="9" t="inlineStr">
        <is>
          <t>Interesse no negócio (eixo X)</t>
        </is>
      </c>
    </row>
    <row r="22" ht="30" customHeight="1">
      <c r="B22" s="10" t="n">
        <v>1</v>
      </c>
      <c r="C22" s="11" t="inlineStr">
        <is>
          <t>Não interfere nas decisões da WEEK</t>
        </is>
      </c>
      <c r="D22" s="11" t="inlineStr">
        <is>
          <t>Não conhece ou não acompanha a WEEK</t>
        </is>
      </c>
    </row>
    <row r="23" ht="30" customHeight="1">
      <c r="B23" s="10" t="n">
        <v>2</v>
      </c>
      <c r="C23" s="11" t="inlineStr">
        <is>
          <t>Interfere pouco e de forma indireta</t>
        </is>
      </c>
      <c r="D23" s="11" t="inlineStr">
        <is>
          <t>Acompanha só quando é procurado</t>
        </is>
      </c>
    </row>
    <row r="24" ht="30" customHeight="1">
      <c r="B24" s="10" t="n">
        <v>3</v>
      </c>
      <c r="C24" s="11" t="inlineStr">
        <is>
          <t>Influencia decisões de uma área, como preço ou canal</t>
        </is>
      </c>
      <c r="D24" s="11" t="inlineStr">
        <is>
          <t>Acompanha quando é afetado</t>
        </is>
      </c>
    </row>
    <row r="25" ht="30" customHeight="1">
      <c r="B25" s="10" t="n">
        <v>4</v>
      </c>
      <c r="C25" s="11" t="inlineStr">
        <is>
          <t>Pode atrasar ou encarecer o lançamento</t>
        </is>
      </c>
      <c r="D25" s="11" t="inlineStr">
        <is>
          <t>Acompanha com frequência e tem expectativas claras</t>
        </is>
      </c>
    </row>
    <row r="26" ht="30" customHeight="1">
      <c r="B26" s="10" t="n">
        <v>5</v>
      </c>
      <c r="C26" s="11" t="inlineStr">
        <is>
          <t>Pode viabilizar ou impedir o lançamento</t>
        </is>
      </c>
      <c r="D26" s="11" t="inlineStr">
        <is>
          <t>Quer participar das decisões</t>
        </is>
      </c>
    </row>
    <row r="28">
      <c r="B28" s="3" t="inlineStr">
        <is>
          <t>Quadrantes</t>
        </is>
      </c>
      <c r="C28" s="4" t="n"/>
      <c r="D28" s="4" t="n"/>
    </row>
    <row r="29">
      <c r="B29" s="9" t="inlineStr">
        <is>
          <t>Quadrante</t>
        </is>
      </c>
      <c r="C29" s="9" t="inlineStr">
        <is>
          <t>Quando cai aqui</t>
        </is>
      </c>
      <c r="D29" s="9" t="inlineStr">
        <is>
          <t>Como agir</t>
        </is>
      </c>
    </row>
    <row r="30" ht="30" customHeight="1">
      <c r="B30" s="9" t="inlineStr">
        <is>
          <t>Gerenciar de perto</t>
        </is>
      </c>
      <c r="C30" s="11" t="inlineStr">
        <is>
          <t>Poder e interesse altos</t>
        </is>
      </c>
      <c r="D30" s="11" t="inlineStr">
        <is>
          <t>Envolver nas decisões, com contato frequente e combinados claros</t>
        </is>
      </c>
    </row>
    <row r="31" ht="30" customHeight="1">
      <c r="B31" s="12" t="inlineStr">
        <is>
          <t>Manter satisfeito</t>
        </is>
      </c>
      <c r="C31" s="11" t="inlineStr">
        <is>
          <t>Poder alto e interesse baixo</t>
        </is>
      </c>
      <c r="D31" s="11" t="inlineStr">
        <is>
          <t>Atender às exigências sem sobrecarregar com informação</t>
        </is>
      </c>
    </row>
    <row r="32" ht="30" customHeight="1">
      <c r="B32" s="13" t="inlineStr">
        <is>
          <t>Manter informado</t>
        </is>
      </c>
      <c r="C32" s="11" t="inlineStr">
        <is>
          <t>Poder baixo e interesse alto</t>
        </is>
      </c>
      <c r="D32" s="11" t="inlineStr">
        <is>
          <t>Comunicar os avanços e ouvir sugestões</t>
        </is>
      </c>
    </row>
    <row r="33" ht="30" customHeight="1">
      <c r="B33" s="14" t="inlineStr">
        <is>
          <t>Monitorar</t>
        </is>
      </c>
      <c r="C33" s="11" t="inlineStr">
        <is>
          <t>Poder e interesse baixos</t>
        </is>
      </c>
      <c r="D33" s="11" t="inlineStr">
        <is>
          <t>Acompanhar com pouco esforço e rever as notas se algo mudar</t>
        </is>
      </c>
    </row>
    <row r="34" ht="18" customHeight="1">
      <c r="B34" s="15" t="inlineStr">
        <is>
          <t>Uma nota conta como alta quando é igual ou maior que a nota de corte, definida no topo da aba Stakeholders.</t>
        </is>
      </c>
    </row>
  </sheetData>
  <mergeCells count="7">
    <mergeCell ref="B11:D11"/>
    <mergeCell ref="B5:D5"/>
    <mergeCell ref="B14:D14"/>
    <mergeCell ref="B8:D8"/>
    <mergeCell ref="B13:D13"/>
    <mergeCell ref="B12:D12"/>
    <mergeCell ref="B34:D34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2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6" customWidth="1" min="3" max="3"/>
    <col width="40" customWidth="1" min="4" max="4"/>
    <col width="34" customWidth="1" min="5" max="5"/>
    <col width="34" customWidth="1" min="6" max="6"/>
    <col width="9" customWidth="1" min="7" max="7"/>
    <col width="10" customWidth="1" min="8" max="8"/>
    <col width="19" customWidth="1" min="9" max="9"/>
    <col width="9" customWidth="1" min="10" max="10"/>
    <col width="10" customWidth="1" min="11" max="11"/>
    <col width="19" customWidth="1" min="12" max="12"/>
    <col width="46" customWidth="1" min="13" max="13"/>
    <col width="18" customWidth="1" min="14" max="14"/>
    <col width="38" customWidth="1" min="15" max="15"/>
    <col width="46" customWidth="1" min="16" max="16"/>
  </cols>
  <sheetData>
    <row r="1">
      <c r="A1" s="16" t="inlineStr">
        <is>
          <t>Matriz de Stakeholders da WEEK</t>
        </is>
      </c>
    </row>
    <row r="2">
      <c r="A2" s="17" t="inlineStr">
        <is>
          <t>Edite as células em azul claro. As colunas em cinza são calculadas. Notas de 1 a 5: escala na aba Como usar.</t>
        </is>
      </c>
    </row>
    <row r="3">
      <c r="B3" s="18" t="inlineStr">
        <is>
          <t>Nota de corte: poder ou interesse é alto a partir de</t>
        </is>
      </c>
      <c r="G3" s="19" t="n">
        <v>3</v>
      </c>
    </row>
    <row r="4">
      <c r="A4" s="20" t="inlineStr">
        <is>
          <t>Quem é</t>
        </is>
      </c>
      <c r="B4" s="21" t="n"/>
      <c r="C4" s="21" t="n"/>
      <c r="D4" s="21" t="n"/>
      <c r="E4" s="21" t="n"/>
      <c r="F4" s="21" t="n"/>
      <c r="G4" s="22" t="inlineStr">
        <is>
          <t>AS IS: hoje</t>
        </is>
      </c>
      <c r="H4" s="21" t="n"/>
      <c r="I4" s="21" t="n"/>
      <c r="J4" s="22" t="inlineStr">
        <is>
          <t>TO BE: até o lançamento</t>
        </is>
      </c>
      <c r="K4" s="21" t="n"/>
      <c r="L4" s="21" t="n"/>
      <c r="M4" s="20" t="inlineStr">
        <is>
          <t>Plano de relacionamento</t>
        </is>
      </c>
      <c r="N4" s="21" t="n"/>
      <c r="O4" s="21" t="n"/>
      <c r="P4" s="21" t="n"/>
    </row>
    <row r="5" ht="32" customHeight="1">
      <c r="A5" s="9" t="inlineStr">
        <is>
          <t>Nº</t>
        </is>
      </c>
      <c r="B5" s="9" t="inlineStr">
        <is>
          <t>Stakeholder</t>
        </is>
      </c>
      <c r="C5" s="9" t="inlineStr">
        <is>
          <t>Tipo</t>
        </is>
      </c>
      <c r="D5" s="9" t="inlineStr">
        <is>
          <t>Relação com a WEEK</t>
        </is>
      </c>
      <c r="E5" s="9" t="inlineStr">
        <is>
          <t>O que espera da WEEK</t>
        </is>
      </c>
      <c r="F5" s="9" t="inlineStr">
        <is>
          <t>O que a WEEK precisa dele</t>
        </is>
      </c>
      <c r="G5" s="9" t="inlineStr">
        <is>
          <t>Poder</t>
        </is>
      </c>
      <c r="H5" s="9" t="inlineStr">
        <is>
          <t>Interesse</t>
        </is>
      </c>
      <c r="I5" s="9" t="inlineStr">
        <is>
          <t>Quadrante</t>
        </is>
      </c>
      <c r="J5" s="9" t="inlineStr">
        <is>
          <t>Poder</t>
        </is>
      </c>
      <c r="K5" s="9" t="inlineStr">
        <is>
          <t>Interesse</t>
        </is>
      </c>
      <c r="L5" s="9" t="inlineStr">
        <is>
          <t>Quadrante</t>
        </is>
      </c>
      <c r="M5" s="9" t="inlineStr">
        <is>
          <t>Ações para sair do AS IS e chegar ao TO BE</t>
        </is>
      </c>
      <c r="N5" s="9" t="inlineStr">
        <is>
          <t>Responsável</t>
        </is>
      </c>
      <c r="O5" s="9" t="inlineStr">
        <is>
          <t>Item da Matriz CSD</t>
        </is>
      </c>
      <c r="P5" s="9" t="inlineStr">
        <is>
          <t>Fonte ou evidência</t>
        </is>
      </c>
    </row>
    <row r="6">
      <c r="A6" s="23">
        <f>IF(B6="","",COUNTA($B$6:B6))</f>
        <v>1</v>
      </c>
      <c r="B6" s="24" t="inlineStr">
        <is>
          <t>Fundadores da WEEK</t>
        </is>
      </c>
      <c r="C6" s="24" t="inlineStr">
        <is>
          <t>Fundadores</t>
        </is>
      </c>
      <c r="D6" s="24" t="inlineStr">
        <is>
          <t>Donos do negócio e responsáveis pela decisão de lançar o kit.</t>
        </is>
      </c>
      <c r="E6" s="24" t="inlineStr">
        <is>
          <t>Um estudo que diga se o negócio é viável e como lançar.</t>
        </is>
      </c>
      <c r="F6" s="24" t="inlineStr">
        <is>
          <t>Decisão ao fim de cada fase e acesso a custos e contatos, como Farma Júnior e fornecedores.</t>
        </is>
      </c>
      <c r="G6" s="25" t="n">
        <v>5</v>
      </c>
      <c r="H6" s="25" t="n">
        <v>5</v>
      </c>
      <c r="I6" s="26" t="str">
        <f>IF(OR(G6="",H6=""),"",IF(G6&gt;=$G$3,IF(H6&gt;=$G$3,"Gerenciar de perto","Manter satisfeito"),IF(H6&gt;=$G$3,"Manter informado","Monitorar")))</f>
        <v>Gerenciar de perto</v>
      </c>
      <c r="J6" s="25" t="n">
        <v>5</v>
      </c>
      <c r="K6" s="25" t="n">
        <v>5</v>
      </c>
      <c r="L6" s="26" t="str">
        <f>IF(OR(J6="",K6=""),"",IF(J6&gt;=$G$3,IF(K6&gt;=$G$3,"Gerenciar de perto","Manter satisfeito"),IF(K6&gt;=$G$3,"Manter informado","Monitorar")))</f>
        <v>Gerenciar de perto</v>
      </c>
      <c r="M6" s="24" t="inlineStr">
        <is>
          <t>Validar a síntese de cada fase antes de seguir para a próxima e decidir, depois da pesquisa de mercado, o foco entre B2C e B2B.</t>
        </is>
      </c>
      <c r="N6" s="24" t="inlineStr">
        <is>
          <t>Francisco Hermes (gerente do projeto)</t>
        </is>
      </c>
      <c r="O6" s="24" t="inlineStr">
        <is>
          <t>Matriz CSD inteira, com destaque para a dúvida: o foco deve ser B2C, B2B ou ambos?</t>
        </is>
      </c>
      <c r="P6" s="24" t="inlineStr">
        <is>
          <t>Contexto do projeto (onboarding)</t>
        </is>
      </c>
    </row>
    <row r="7">
      <c r="A7" s="23">
        <f>IF(B7="","",COUNTA($B$6:B7))</f>
        <v>2</v>
      </c>
      <c r="B7" s="24" t="inlineStr">
        <is>
          <t>Esag Jr.</t>
        </is>
      </c>
      <c r="C7" s="24" t="inlineStr">
        <is>
          <t>Consultoria</t>
        </is>
      </c>
      <c r="D7" s="24" t="inlineStr">
        <is>
          <t>Faz o estudo de viabilidade do negócio em 8 semanas: análise de mercado, pesquisa, plano operacional e plano financeiro.</t>
        </is>
      </c>
      <c r="E7" s="24" t="inlineStr">
        <is>
          <t>Acesso às informações e alinhamento com os fundadores.</t>
        </is>
      </c>
      <c r="F7" s="24" t="inlineStr">
        <is>
          <t>Recomendações que embasem a decisão de lançar.</t>
        </is>
      </c>
      <c r="G7" s="25" t="n">
        <v>3</v>
      </c>
      <c r="H7" s="25" t="n">
        <v>5</v>
      </c>
      <c r="I7" s="26" t="str">
        <f>IF(OR(G7="",H7=""),"",IF(G7&gt;=$G$3,IF(H7&gt;=$G$3,"Gerenciar de perto","Manter satisfeito"),IF(H7&gt;=$G$3,"Manter informado","Monitorar")))</f>
        <v>Gerenciar de perto</v>
      </c>
      <c r="J7" s="25" t="n">
        <v>4</v>
      </c>
      <c r="K7" s="25" t="n">
        <v>5</v>
      </c>
      <c r="L7" s="26" t="str">
        <f>IF(OR(J7="",K7=""),"",IF(J7&gt;=$G$3,IF(K7&gt;=$G$3,"Gerenciar de perto","Manter satisfeito"),IF(K7&gt;=$G$3,"Manter informado","Monitorar")))</f>
        <v>Gerenciar de perto</v>
      </c>
      <c r="M7" s="24" t="inlineStr">
        <is>
          <t>Fechar cada fase com uma síntese e uma recomendação direta para a WEEK e revisar a Matriz CSD com os fundadores ao fim da análise de mercado.</t>
        </is>
      </c>
      <c r="N7" s="24" t="inlineStr">
        <is>
          <t>Francisco Hermes (gerente do projeto)</t>
        </is>
      </c>
      <c r="O7" s="24" t="inlineStr">
        <is>
          <t>Matriz CSD inteira: o estudo é organizado para confirmar as certezas, testar as suposições e responder as dúvidas.</t>
        </is>
      </c>
      <c r="P7" s="24" t="inlineStr">
        <is>
          <t>Contexto do projeto (onboarding)</t>
        </is>
      </c>
    </row>
    <row r="8">
      <c r="A8" s="23">
        <f>IF(B8="","",COUNTA($B$6:B8))</f>
        <v>3</v>
      </c>
      <c r="B8" s="24" t="inlineStr">
        <is>
          <t>Farma Júnior</t>
        </is>
      </c>
      <c r="C8" s="24" t="inlineStr">
        <is>
          <t>Consultoria</t>
        </is>
      </c>
      <c r="D8" s="24" t="inlineStr">
        <is>
          <t>Atende os fundadores, entregou a pesquisa de mercado (Entrega parcial 1) e desenvolve a fórmula, com fechamento previsto para novembro ou início de dezembro.</t>
        </is>
      </c>
      <c r="E8" s="24" t="inlineStr">
        <is>
          <t>Briefing claro do que a fórmula precisa entregar e aproveitamento da pesquisa já feita, sem sobreposição com a Esag Jr.</t>
        </is>
      </c>
      <c r="F8" s="24" t="inlineStr">
        <is>
          <t>Fórmula de qualidade premium, com custo compatível com o preço do kit, e o material que comprova essa qualidade.</t>
        </is>
      </c>
      <c r="G8" s="25" t="n">
        <v>5</v>
      </c>
      <c r="H8" s="25" t="n">
        <v>4</v>
      </c>
      <c r="I8" s="26" t="str">
        <f>IF(OR(G8="",H8=""),"",IF(G8&gt;=$G$3,IF(H8&gt;=$G$3,"Gerenciar de perto","Manter satisfeito"),IF(H8&gt;=$G$3,"Manter informado","Monitorar")))</f>
        <v>Gerenciar de perto</v>
      </c>
      <c r="J8" s="25" t="n">
        <v>5</v>
      </c>
      <c r="K8" s="25" t="n">
        <v>5</v>
      </c>
      <c r="L8" s="26" t="str">
        <f>IF(OR(J8="",K8=""),"",IF(J8&gt;=$G$3,IF(K8&gt;=$G$3,"Gerenciar de perto","Manter satisfeito"),IF(K8&gt;=$G$3,"Manter informado","Monitorar")))</f>
        <v>Gerenciar de perto</v>
      </c>
      <c r="M8" s="24" t="inlineStr">
        <is>
          <t>Antes de a fórmula ser fechada, levar as tendências de ingredientes e pedir que avalie incluir um ativo que o público já conheça. Depois, pedir lista de ingredientes, efeito dos ativos principais e cabelos testados, para o site. Alinhar a pesquisa de mercado para não repetir perguntas.</t>
        </is>
      </c>
      <c r="N8" s="24" t="inlineStr">
        <is>
          <t>Francisco Hermes (gerente do projeto)</t>
        </is>
      </c>
      <c r="O8" s="24" t="inlineStr">
        <is>
          <t>Certeza: diferenciar pela qualidade. Certeza: lançar com uma fórmula só. Suposição: uma única fórmula atende a todos os tipos de cabelo.</t>
        </is>
      </c>
      <c r="P8" s="24" t="inlineStr">
        <is>
          <t>Tendências e Referências do Setor, item 1.2: https://docs.google.com/document/d/1f-SWmVJhNKNpRLMeA7ReFx7JbQWARzhArjYI1mjd_TM/edit | Matriz ERAC (rascunho v2), Reduzir 3 e Ampliar 1: https://docs.google.com/document/d/1E_U7O3MraF4Ks_oJX-N2aQfXrHJKLobNOzP_QegrEUA/edit</t>
        </is>
      </c>
    </row>
    <row r="9">
      <c r="A9" s="23">
        <f>IF(B9="","",COUNTA($B$6:B9))</f>
        <v>4</v>
      </c>
      <c r="B9" s="24" t="inlineStr">
        <is>
          <t>Fornecedor do sachê biodegradável</t>
        </is>
      </c>
      <c r="C9" s="24" t="inlineStr">
        <is>
          <t>Fornecedor</t>
        </is>
      </c>
      <c r="D9" s="24" t="inlineStr">
        <is>
          <t>Fornece o sachê de uso único, de 20 a 30 ml, base do diferencial. Pode ser o próprio fabricante. Ainda não definido.</t>
        </is>
      </c>
      <c r="E9" s="24" t="inlineStr">
        <is>
          <t>Volume e previsibilidade de pedidos.</t>
        </is>
      </c>
      <c r="F9" s="24" t="inlineStr">
        <is>
          <t>Sachê que não vaze, abra sem tesoura com a mão molhada e tenha documento que comprove a biodegradabilidade.</t>
        </is>
      </c>
      <c r="G9" s="25" t="n">
        <v>5</v>
      </c>
      <c r="H9" s="25" t="n">
        <v>1</v>
      </c>
      <c r="I9" s="26" t="str">
        <f>IF(OR(G9="",H9=""),"",IF(G9&gt;=$G$3,IF(H9&gt;=$G$3,"Gerenciar de perto","Manter satisfeito"),IF(H9&gt;=$G$3,"Manter informado","Monitorar")))</f>
        <v>Manter satisfeito</v>
      </c>
      <c r="J9" s="25" t="n">
        <v>5</v>
      </c>
      <c r="K9" s="25" t="n">
        <v>4</v>
      </c>
      <c r="L9" s="26" t="str">
        <f>IF(OR(J9="",K9=""),"",IF(J9&gt;=$G$3,IF(K9&gt;=$G$3,"Gerenciar de perto","Manter satisfeito"),IF(K9&gt;=$G$3,"Manter informado","Monitorar")))</f>
        <v>Gerenciar de perto</v>
      </c>
      <c r="M9" s="24" t="inlineStr">
        <is>
          <t>Pedir amostras e testar o protótipo: alguns sachês na mochila por alguns dias, abertos depois com a mão molhada. Só usar a palavra biodegradável com o documento do fornecedor em mãos.</t>
        </is>
      </c>
      <c r="N9" s="24" t="inlineStr">
        <is>
          <t>Fundadores da WEEK</t>
        </is>
      </c>
      <c r="O9" s="24" t="inlineStr">
        <is>
          <t>Dúvida: resistência do sachê de papel kraft. Dúvida: outros fornecedores de sachês biodegradáveis. Suposição: a biodegradabilidade influencia a compra. Suposição: o público se incomoda com frascos que vazam.</t>
        </is>
      </c>
      <c r="P9" s="24" t="inlineStr">
        <is>
          <t>Tendências e Referências do Setor, item 2.1: https://docs.google.com/document/d/1f-SWmVJhNKNpRLMeA7ReFx7JbQWARzhArjYI1mjd_TM/edit | Matriz ERAC (rascunho v2), Ampliar 3 e Criar 3: https://docs.google.com/document/d/1E_U7O3MraF4Ks_oJX-N2aQfXrHJKLobNOzP_QegrEUA/edit</t>
        </is>
      </c>
    </row>
    <row r="10">
      <c r="A10" s="23">
        <f>IF(B10="","",COUNTA($B$6:B10))</f>
        <v>5</v>
      </c>
      <c r="B10" s="24" t="inlineStr">
        <is>
          <t>Fabricante terceirizado</t>
        </is>
      </c>
      <c r="C10" s="24" t="inlineStr">
        <is>
          <t>Fornecedor</t>
        </is>
      </c>
      <c r="D10" s="24" t="inlineStr">
        <is>
          <t>Fabricaria e envasaria o kit a partir da fórmula da Farma Júnior. Ainda não definido. Estoril Cosméticos (Naturys) e H MAX (Naturallys) já produzem sachês de 30 ml para hotelaria.</t>
        </is>
      </c>
      <c r="E10" s="24" t="inlineStr">
        <is>
          <t>Pedido mínimo atendido: 500 unidades por produto na linha Eco da Estoril e R$ 800 em caixa fechada na H MAX.</t>
        </is>
      </c>
      <c r="F10" s="24" t="inlineStr">
        <is>
          <t>Lote de lançamento produzido com AFE, já que quem envasa também precisa de autorização da Anvisa, e amostras para o teste do protótipo.</t>
        </is>
      </c>
      <c r="G10" s="25" t="n">
        <v>4</v>
      </c>
      <c r="H10" s="25" t="n">
        <v>1</v>
      </c>
      <c r="I10" s="26" t="str">
        <f>IF(OR(G10="",H10=""),"",IF(G10&gt;=$G$3,IF(H10&gt;=$G$3,"Gerenciar de perto","Manter satisfeito"),IF(H10&gt;=$G$3,"Manter informado","Monitorar")))</f>
        <v>Manter satisfeito</v>
      </c>
      <c r="J10" s="25" t="n">
        <v>4</v>
      </c>
      <c r="K10" s="25" t="n">
        <v>4</v>
      </c>
      <c r="L10" s="26" t="str">
        <f>IF(OR(J10="",K10=""),"",IF(J10&gt;=$G$3,IF(K10&gt;=$G$3,"Gerenciar de perto","Manter satisfeito"),IF(K10&gt;=$G$3,"Manter informado","Monitorar")))</f>
        <v>Gerenciar de perto</v>
      </c>
      <c r="M10" s="24" t="inlineStr">
        <is>
          <t>No plano operacional, pedir orçamento do lote de lançamento à Estoril, à H MAX e a outros fabricantes com AFE, comparando pedido mínimo, custo por sachê e se aceitam produzir uma fórmula de terceiros.</t>
        </is>
      </c>
      <c r="N10" s="24" t="inlineStr">
        <is>
          <t>Equipe Esag Jr. (plano operacional)</t>
        </is>
      </c>
      <c r="O10" s="24" t="inlineStr">
        <is>
          <t>Dúvida: outros fornecedores de sachês biodegradáveis.</t>
        </is>
      </c>
      <c r="P10" s="24" t="inlineStr">
        <is>
          <t>Concorrentes Diretos e Indiretos, itens 2.1 e 2.2: https://docs.google.com/document/d/1PlgnpHrs94Qn97ZfNUgxJcGKsElGottPn6tMBVW-LKw/edit | Matriz ERAC (rascunho v2), Eliminar 1: https://docs.google.com/document/d/1E_U7O3MraF4Ks_oJX-N2aQfXrHJKLobNOzP_QegrEUA/edit | PESTALD WEEK, parte Legal: https://docs.google.com/document/d/1rTsrv_ybbYp2e9YkJtvBSus9jepMAUDhKYAaqbxlMc0/edit</t>
        </is>
      </c>
    </row>
    <row r="11">
      <c r="A11" s="23">
        <f>IF(B11="","",COUNTA($B$6:B11))</f>
        <v>6</v>
      </c>
      <c r="B11" s="24" t="inlineStr">
        <is>
          <t>Anvisa e vigilância sanitária</t>
        </is>
      </c>
      <c r="C11" s="24" t="inlineStr">
        <is>
          <t>Regulador</t>
        </is>
      </c>
      <c r="D11" s="24" t="inlineStr">
        <is>
          <t>A vigilância local emite a Licença Sanitária e a Anvisa concede a AFE e recebe a notificação dos produtos.</t>
        </is>
      </c>
      <c r="E11" s="24" t="inlineStr">
        <is>
          <t>Empresa licenciada, produto notificado, rotulagem correta, responsável técnico e cosmetovigilância.</t>
        </is>
      </c>
      <c r="F11" s="24" t="inlineStr">
        <is>
          <t>Produto regularizado. Sem isso o kit não pode ser vendido.</t>
        </is>
      </c>
      <c r="G11" s="25" t="n">
        <v>5</v>
      </c>
      <c r="H11" s="25" t="n">
        <v>1</v>
      </c>
      <c r="I11" s="26" t="str">
        <f>IF(OR(G11="",H11=""),"",IF(G11&gt;=$G$3,IF(H11&gt;=$G$3,"Gerenciar de perto","Manter satisfeito"),IF(H11&gt;=$G$3,"Manter informado","Monitorar")))</f>
        <v>Manter satisfeito</v>
      </c>
      <c r="J11" s="25" t="n">
        <v>5</v>
      </c>
      <c r="K11" s="25" t="n">
        <v>2</v>
      </c>
      <c r="L11" s="26" t="str">
        <f>IF(OR(J11="",K11=""),"",IF(J11&gt;=$G$3,IF(K11&gt;=$G$3,"Gerenciar de perto","Manter satisfeito"),IF(K11&gt;=$G$3,"Manter informado","Monitorar")))</f>
        <v>Manter satisfeito</v>
      </c>
      <c r="M11" s="24" t="inlineStr">
        <is>
          <t>Levantar com um responsável técnico os requisitos de Licença Sanitária, AFE e notificação antes de escolher o fabricante.</t>
        </is>
      </c>
      <c r="N11" s="24" t="inlineStr">
        <is>
          <t>Fundadores da WEEK</t>
        </is>
      </c>
      <c r="O11" s="24" t="inlineStr">
        <is>
          <t>Nenhum item encontrado nos documentos da análise de mercado. Sugerimos incluir a dúvida: o que é preciso para regularizar o kit?</t>
        </is>
      </c>
      <c r="P11" s="24" t="inlineStr">
        <is>
          <t>Lei nº 6.360/1976, Planalto: https://www.planalto.gov.br/ccivil_03/leis/l6360.htm | PESTALD WEEK, parte Legal: https://docs.google.com/document/d/1rTsrv_ybbYp2e9YkJtvBSus9jepMAUDhKYAaqbxlMc0/edit</t>
        </is>
      </c>
    </row>
    <row r="12">
      <c r="A12" s="23">
        <f>IF(B12="","",COUNTA($B$6:B12))</f>
        <v>7</v>
      </c>
      <c r="B12" s="24" t="inlineStr">
        <is>
          <t>INPI</t>
        </is>
      </c>
      <c r="C12" s="24" t="inlineStr">
        <is>
          <t>Regulador</t>
        </is>
      </c>
      <c r="D12" s="24" t="inlineStr">
        <is>
          <t>Concede o registro de marca. O registro do nome WEEK é uma dúvida da Matriz CSD.</t>
        </is>
      </c>
      <c r="E12" s="24" t="inlineStr">
        <is>
          <t>Pedido de registro completo, com as taxas pagas.</t>
        </is>
      </c>
      <c r="F12" s="24" t="inlineStr">
        <is>
          <t>Registro da marca, para usar e proteger o nome.</t>
        </is>
      </c>
      <c r="G12" s="25" t="n">
        <v>4</v>
      </c>
      <c r="H12" s="25" t="n">
        <v>1</v>
      </c>
      <c r="I12" s="26" t="str">
        <f>IF(OR(G12="",H12=""),"",IF(G12&gt;=$G$3,IF(H12&gt;=$G$3,"Gerenciar de perto","Manter satisfeito"),IF(H12&gt;=$G$3,"Manter informado","Monitorar")))</f>
        <v>Manter satisfeito</v>
      </c>
      <c r="J12" s="25" t="n">
        <v>4</v>
      </c>
      <c r="K12" s="25" t="n">
        <v>2</v>
      </c>
      <c r="L12" s="26" t="str">
        <f>IF(OR(J12="",K12=""),"",IF(J12&gt;=$G$3,IF(K12&gt;=$G$3,"Gerenciar de perto","Manter satisfeito"),IF(K12&gt;=$G$3,"Manter informado","Monitorar")))</f>
        <v>Manter satisfeito</v>
      </c>
      <c r="M12" s="24" t="inlineStr">
        <is>
          <t>Fazer a busca de marcas no INPI e, se o nome estiver livre, protocolar o pedido antes do lançamento. Sem registro, a marca fica exposta a cópias, como a Kerasys, que precisou alertar seguidores sobre sites falsos com o nome dela.</t>
        </is>
      </c>
      <c r="N12" s="24" t="inlineStr">
        <is>
          <t>Fundadores da WEEK</t>
        </is>
      </c>
      <c r="O12" s="24" t="inlineStr">
        <is>
          <t>Dúvida: registro do nome no INPI.</t>
        </is>
      </c>
      <c r="P12" s="24" t="inlineStr">
        <is>
          <t>Matriz ERAC (rascunho v2), Eliminar 2: https://docs.google.com/document/d/1E_U7O3MraF4Ks_oJX-N2aQfXrHJKLobNOzP_QegrEUA/edit</t>
        </is>
      </c>
    </row>
    <row r="13">
      <c r="A13" s="23">
        <f>IF(B13="","",COUNTA($B$6:B13))</f>
        <v>8</v>
      </c>
      <c r="B13" s="24" t="inlineStr">
        <is>
          <t>Academias e hotéis</t>
        </is>
      </c>
      <c r="C13" s="24" t="inlineStr">
        <is>
          <t>Cliente B2B</t>
        </is>
      </c>
      <c r="D13" s="24" t="inlineStr">
        <is>
          <t>Possíveis compradores do kit para alunos e hóspedes em Campinas e região. Já compram sachê de fábricas que atendem hotéis há mais de 20 anos.</t>
        </is>
      </c>
      <c r="E13" s="24" t="inlineStr">
        <is>
          <t>Preço por uso próximo do que pagam hoje: o par de sachês de hotel sai de cerca de R$ 0,94 (H MAX) a R$ 2,43 (Naturys Eco).</t>
        </is>
      </c>
      <c r="F13" s="24" t="inlineStr">
        <is>
          <t>Interesse em pagar mais que o sachê de hotel por um produto melhor e espaço para um piloto.</t>
        </is>
      </c>
      <c r="G13" s="25" t="n">
        <v>2</v>
      </c>
      <c r="H13" s="25" t="n">
        <v>1</v>
      </c>
      <c r="I13" s="26" t="str">
        <f>IF(OR(G13="",H13=""),"",IF(G13&gt;=$G$3,IF(H13&gt;=$G$3,"Gerenciar de perto","Manter satisfeito"),IF(H13&gt;=$G$3,"Manter informado","Monitorar")))</f>
        <v>Monitorar</v>
      </c>
      <c r="J13" s="25" t="n">
        <v>2</v>
      </c>
      <c r="K13" s="25" t="n">
        <v>3</v>
      </c>
      <c r="L13" s="26" t="str">
        <f>IF(OR(J13="",K13=""),"",IF(J13&gt;=$G$3,IF(K13&gt;=$G$3,"Gerenciar de perto","Manter satisfeito"),IF(K13&gt;=$G$3,"Manter informado","Monitorar")))</f>
        <v>Manter informado</v>
      </c>
      <c r="M13" s="24" t="inlineStr">
        <is>
          <t>Entrevistar gestores na pesquisa qualitativa. Se houver interesse, fazer um piloto com amostras para dois ou três gestores de academia ou hotel, sem tratar o B2B como canal principal no lançamento.</t>
        </is>
      </c>
      <c r="N13" s="24" t="inlineStr">
        <is>
          <t>Equipe Esag Jr. (pesquisa de mercado)</t>
        </is>
      </c>
      <c r="O13" s="24" t="inlineStr">
        <is>
          <t>Suposição: academias, hotéis e empresas têm interesse em adquirir o kit (B2B). Dúvida: o foco deve ser B2C, B2B ou ambos?</t>
        </is>
      </c>
      <c r="P13" s="24" t="inlineStr">
        <is>
          <t>PESTALD WEEK, parte Demográfico: https://docs.google.com/document/d/1rTsrv_ybbYp2e9YkJtvBSus9jepMAUDhKYAaqbxlMc0/edit | Matriz ERAC (rascunho v2), Reduzir 1 e 2: https://docs.google.com/document/d/1E_U7O3MraF4Ks_oJX-N2aQfXrHJKLobNOzP_QegrEUA/edit</t>
        </is>
      </c>
    </row>
    <row r="14">
      <c r="A14" s="23">
        <f>IF(B14="","",COUNTA($B$6:B14))</f>
        <v>9</v>
      </c>
      <c r="B14" s="24" t="inlineStr">
        <is>
          <t>Influenciadores e eventos de bem-estar</t>
        </is>
      </c>
      <c r="C14" s="24" t="inlineStr">
        <is>
          <t>Influenciador</t>
        </is>
      </c>
      <c r="D14" s="24" t="inlineStr">
        <is>
          <t>Canais de divulgação previstos para o lançamento: press kit com cupom individual para microinfluenciadores e eventos de bem-estar como porta de entrada.</t>
        </is>
      </c>
      <c r="E14" s="24" t="inlineStr">
        <is>
          <t>Produto que combine com o conteúdo que já fazem e uma parceria clara.</t>
        </is>
      </c>
      <c r="F14" s="24" t="inlineStr">
        <is>
          <t>Vídeos com o kit em uso real, no vestiário ou na viagem, que geram mais confiança do que foto de estúdio.</t>
        </is>
      </c>
      <c r="G14" s="25" t="n">
        <v>2</v>
      </c>
      <c r="H14" s="25" t="n">
        <v>1</v>
      </c>
      <c r="I14" s="26" t="str">
        <f>IF(OR(G14="",H14=""),"",IF(G14&gt;=$G$3,IF(H14&gt;=$G$3,"Gerenciar de perto","Manter satisfeito"),IF(H14&gt;=$G$3,"Manter informado","Monitorar")))</f>
        <v>Monitorar</v>
      </c>
      <c r="J14" s="25" t="n">
        <v>3</v>
      </c>
      <c r="K14" s="25" t="n">
        <v>4</v>
      </c>
      <c r="L14" s="26" t="str">
        <f>IF(OR(J14="",K14=""),"",IF(J14&gt;=$G$3,IF(K14&gt;=$G$3,"Gerenciar de perto","Manter satisfeito"),IF(K14&gt;=$G$3,"Manter informado","Monitorar")))</f>
        <v>Gerenciar de perto</v>
      </c>
      <c r="M14" s="24" t="inlineStr">
        <is>
          <t>Escolher perfis de bem-estar e fitness a partir do mapeamento de influenciadores desta etapa, enviar o press kit com cupom individual e medir as vendas de cada cupom.</t>
        </is>
      </c>
      <c r="N14" s="24" t="inlineStr">
        <is>
          <t>Equipe Esag Jr. (mapeamento) e fundadores (envio)</t>
        </is>
      </c>
      <c r="O14" s="24" t="inlineStr">
        <is>
          <t>Suposição: os influenciadores, inclusive os microinfluenciadores, serão o principal canal de divulgação. Dúvida: quais influenciadores e eventos devem ser abordados? Suposição: eventos de bem-estar como porta de entrada.</t>
        </is>
      </c>
      <c r="P14" s="24" t="inlineStr">
        <is>
          <t>Tendências e Referências do Setor, item 1.3: https://docs.google.com/document/d/1f-SWmVJhNKNpRLMeA7ReFx7JbQWARzhArjYI1mjd_TM/edit | PESTALD WEEK, parte Social: https://docs.google.com/document/d/1rTsrv_ybbYp2e9YkJtvBSus9jepMAUDhKYAaqbxlMc0/edit</t>
        </is>
      </c>
    </row>
    <row r="15">
      <c r="A15" s="23">
        <f>IF(B15="","",COUNTA($B$6:B15))</f>
        <v>10</v>
      </c>
      <c r="B15" s="24" t="inlineStr">
        <is>
          <t>Consumidor final</t>
        </is>
      </c>
      <c r="C15" s="24" t="inlineStr">
        <is>
          <t>Consumidor final</t>
        </is>
      </c>
      <c r="D15" s="24" t="inlineStr">
        <is>
          <t>Quem toma banho fora de casa, na academia, no trabalho ou em viagem. Hoje usa frasco reutilizável, kit em miniatura ou o sachê do hotel.</t>
        </is>
      </c>
      <c r="E15" s="24" t="inlineStr">
        <is>
          <t>Praticidade sem vazamento, qualidade de produto premium e preço claro antes da compra.</t>
        </is>
      </c>
      <c r="F15" s="24" t="inlineStr">
        <is>
          <t>Compra recorrente e avaliações, já que um kit de uso único acaba rápido.</t>
        </is>
      </c>
      <c r="G15" s="25" t="n">
        <v>4</v>
      </c>
      <c r="H15" s="25" t="n">
        <v>1</v>
      </c>
      <c r="I15" s="26" t="str">
        <f>IF(OR(G15="",H15=""),"",IF(G15&gt;=$G$3,IF(H15&gt;=$G$3,"Gerenciar de perto","Manter satisfeito"),IF(H15&gt;=$G$3,"Manter informado","Monitorar")))</f>
        <v>Manter satisfeito</v>
      </c>
      <c r="J15" s="25" t="n">
        <v>4</v>
      </c>
      <c r="K15" s="25" t="n">
        <v>4</v>
      </c>
      <c r="L15" s="26" t="str">
        <f>IF(OR(J15="",K15=""),"",IF(J15&gt;=$G$3,IF(K15&gt;=$G$3,"Gerenciar de perto","Manter satisfeito"),IF(K15&gt;=$G$3,"Manter informado","Monitorar")))</f>
        <v>Gerenciar de perto</v>
      </c>
      <c r="M15" s="24" t="inlineStr">
        <is>
          <t>Na pesquisa de mercado, definir o cliente ideal e medir banho fora de casa, disposição a pagar, preferência entre kit avulso, caixa e assinatura e se enxerga o kit como diferente de um sachê de hotel.</t>
        </is>
      </c>
      <c r="N15" s="24" t="inlineStr">
        <is>
          <t>Equipe Esag Jr. (pesquisa de mercado)</t>
        </is>
      </c>
      <c r="O15" s="24" t="inlineStr">
        <is>
          <t>Dúvida: quem é o cliente ideal? Dúvida: quantas pessoas tomam banho fora de casa? Suposição: os clientes pagam mais pela praticidade e pela qualidade. Suposição: preferem assinatura e caixas com vários kits.</t>
        </is>
      </c>
      <c r="P15" s="24" t="inlineStr">
        <is>
          <t>PESTALD WEEK, parte Social: https://docs.google.com/document/d/1rTsrv_ybbYp2e9YkJtvBSus9jepMAUDhKYAaqbxlMc0/edit | Tendências e Referências do Setor, item 1.6: https://docs.google.com/document/d/1f-SWmVJhNKNpRLMeA7ReFx7JbQWARzhArjYI1mjd_TM/edit | Matriz ERAC (rascunho v2), Eliminar 3 e Criar 4: https://docs.google.com/document/d/1E_U7O3MraF4Ks_oJX-N2aQfXrHJKLobNOzP_QegrEUA/edit</t>
        </is>
      </c>
    </row>
    <row r="16">
      <c r="A16" s="23" t="str">
        <f>IF(B16="","",COUNTA($B$6:B16))</f>
        <v/>
      </c>
      <c r="B16" s="24" t="n"/>
      <c r="C16" s="24" t="n"/>
      <c r="D16" s="24" t="n"/>
      <c r="E16" s="24" t="n"/>
      <c r="F16" s="24" t="n"/>
      <c r="G16" s="25" t="n"/>
      <c r="H16" s="25" t="n"/>
      <c r="I16" s="26" t="str">
        <f>IF(OR(G16="",H16=""),"",IF(G16&gt;=$G$3,IF(H16&gt;=$G$3,"Gerenciar de perto","Manter satisfeito"),IF(H16&gt;=$G$3,"Manter informado","Monitorar")))</f>
        <v/>
      </c>
      <c r="J16" s="25" t="n"/>
      <c r="K16" s="25" t="n"/>
      <c r="L16" s="26" t="str">
        <f>IF(OR(J16="",K16=""),"",IF(J16&gt;=$G$3,IF(K16&gt;=$G$3,"Gerenciar de perto","Manter satisfeito"),IF(K16&gt;=$G$3,"Manter informado","Monitorar")))</f>
        <v/>
      </c>
      <c r="M16" s="24" t="n"/>
      <c r="N16" s="24" t="n"/>
      <c r="O16" s="24" t="n"/>
      <c r="P16" s="24" t="n"/>
    </row>
    <row r="17">
      <c r="A17" s="23" t="str">
        <f>IF(B17="","",COUNTA($B$6:B17))</f>
        <v/>
      </c>
      <c r="B17" s="24" t="n"/>
      <c r="C17" s="24" t="n"/>
      <c r="D17" s="24" t="n"/>
      <c r="E17" s="24" t="n"/>
      <c r="F17" s="24" t="n"/>
      <c r="G17" s="25" t="n"/>
      <c r="H17" s="25" t="n"/>
      <c r="I17" s="26" t="str">
        <f>IF(OR(G17="",H17=""),"",IF(G17&gt;=$G$3,IF(H17&gt;=$G$3,"Gerenciar de perto","Manter satisfeito"),IF(H17&gt;=$G$3,"Manter informado","Monitorar")))</f>
        <v/>
      </c>
      <c r="J17" s="25" t="n"/>
      <c r="K17" s="25" t="n"/>
      <c r="L17" s="26" t="str">
        <f>IF(OR(J17="",K17=""),"",IF(J17&gt;=$G$3,IF(K17&gt;=$G$3,"Gerenciar de perto","Manter satisfeito"),IF(K17&gt;=$G$3,"Manter informado","Monitorar")))</f>
        <v/>
      </c>
      <c r="M17" s="24" t="n"/>
      <c r="N17" s="24" t="n"/>
      <c r="O17" s="24" t="n"/>
      <c r="P17" s="24" t="n"/>
    </row>
    <row r="18">
      <c r="A18" s="23" t="str">
        <f>IF(B18="","",COUNTA($B$6:B18))</f>
        <v/>
      </c>
      <c r="B18" s="24" t="n"/>
      <c r="C18" s="24" t="n"/>
      <c r="D18" s="24" t="n"/>
      <c r="E18" s="24" t="n"/>
      <c r="F18" s="24" t="n"/>
      <c r="G18" s="25" t="n"/>
      <c r="H18" s="25" t="n"/>
      <c r="I18" s="26" t="str">
        <f>IF(OR(G18="",H18=""),"",IF(G18&gt;=$G$3,IF(H18&gt;=$G$3,"Gerenciar de perto","Manter satisfeito"),IF(H18&gt;=$G$3,"Manter informado","Monitorar")))</f>
        <v/>
      </c>
      <c r="J18" s="25" t="n"/>
      <c r="K18" s="25" t="n"/>
      <c r="L18" s="26" t="str">
        <f>IF(OR(J18="",K18=""),"",IF(J18&gt;=$G$3,IF(K18&gt;=$G$3,"Gerenciar de perto","Manter satisfeito"),IF(K18&gt;=$G$3,"Manter informado","Monitorar")))</f>
        <v/>
      </c>
      <c r="M18" s="24" t="n"/>
      <c r="N18" s="24" t="n"/>
      <c r="O18" s="24" t="n"/>
      <c r="P18" s="24" t="n"/>
    </row>
    <row r="19">
      <c r="A19" s="23" t="str">
        <f>IF(B19="","",COUNTA($B$6:B19))</f>
        <v/>
      </c>
      <c r="B19" s="24" t="n"/>
      <c r="C19" s="24" t="n"/>
      <c r="D19" s="24" t="n"/>
      <c r="E19" s="24" t="n"/>
      <c r="F19" s="24" t="n"/>
      <c r="G19" s="25" t="n"/>
      <c r="H19" s="25" t="n"/>
      <c r="I19" s="26" t="str">
        <f>IF(OR(G19="",H19=""),"",IF(G19&gt;=$G$3,IF(H19&gt;=$G$3,"Gerenciar de perto","Manter satisfeito"),IF(H19&gt;=$G$3,"Manter informado","Monitorar")))</f>
        <v/>
      </c>
      <c r="J19" s="25" t="n"/>
      <c r="K19" s="25" t="n"/>
      <c r="L19" s="26" t="str">
        <f>IF(OR(J19="",K19=""),"",IF(J19&gt;=$G$3,IF(K19&gt;=$G$3,"Gerenciar de perto","Manter satisfeito"),IF(K19&gt;=$G$3,"Manter informado","Monitorar")))</f>
        <v/>
      </c>
      <c r="M19" s="24" t="n"/>
      <c r="N19" s="24" t="n"/>
      <c r="O19" s="24" t="n"/>
      <c r="P19" s="24" t="n"/>
    </row>
    <row r="20">
      <c r="A20" s="23" t="str">
        <f>IF(B20="","",COUNTA($B$6:B20))</f>
        <v/>
      </c>
      <c r="B20" s="24" t="n"/>
      <c r="C20" s="24" t="n"/>
      <c r="D20" s="24" t="n"/>
      <c r="E20" s="24" t="n"/>
      <c r="F20" s="24" t="n"/>
      <c r="G20" s="25" t="n"/>
      <c r="H20" s="25" t="n"/>
      <c r="I20" s="26" t="str">
        <f>IF(OR(G20="",H20=""),"",IF(G20&gt;=$G$3,IF(H20&gt;=$G$3,"Gerenciar de perto","Manter satisfeito"),IF(H20&gt;=$G$3,"Manter informado","Monitorar")))</f>
        <v/>
      </c>
      <c r="J20" s="25" t="n"/>
      <c r="K20" s="25" t="n"/>
      <c r="L20" s="26" t="str">
        <f>IF(OR(J20="",K20=""),"",IF(J20&gt;=$G$3,IF(K20&gt;=$G$3,"Gerenciar de perto","Manter satisfeito"),IF(K20&gt;=$G$3,"Manter informado","Monitorar")))</f>
        <v/>
      </c>
      <c r="M20" s="24" t="n"/>
      <c r="N20" s="24" t="n"/>
      <c r="O20" s="24" t="n"/>
      <c r="P20" s="24" t="n"/>
    </row>
    <row r="21">
      <c r="A21" s="23" t="str">
        <f>IF(B21="","",COUNTA($B$6:B21))</f>
        <v/>
      </c>
      <c r="B21" s="24" t="n"/>
      <c r="C21" s="24" t="n"/>
      <c r="D21" s="24" t="n"/>
      <c r="E21" s="24" t="n"/>
      <c r="F21" s="24" t="n"/>
      <c r="G21" s="25" t="n"/>
      <c r="H21" s="25" t="n"/>
      <c r="I21" s="26" t="str">
        <f>IF(OR(G21="",H21=""),"",IF(G21&gt;=$G$3,IF(H21&gt;=$G$3,"Gerenciar de perto","Manter satisfeito"),IF(H21&gt;=$G$3,"Manter informado","Monitorar")))</f>
        <v/>
      </c>
      <c r="J21" s="25" t="n"/>
      <c r="K21" s="25" t="n"/>
      <c r="L21" s="26" t="str">
        <f>IF(OR(J21="",K21=""),"",IF(J21&gt;=$G$3,IF(K21&gt;=$G$3,"Gerenciar de perto","Manter satisfeito"),IF(K21&gt;=$G$3,"Manter informado","Monitorar")))</f>
        <v/>
      </c>
      <c r="M21" s="24" t="n"/>
      <c r="N21" s="24" t="n"/>
      <c r="O21" s="24" t="n"/>
      <c r="P21" s="24" t="n"/>
    </row>
    <row r="22">
      <c r="A22" s="23" t="str">
        <f>IF(B22="","",COUNTA($B$6:B22))</f>
        <v/>
      </c>
      <c r="B22" s="24" t="n"/>
      <c r="C22" s="24" t="n"/>
      <c r="D22" s="24" t="n"/>
      <c r="E22" s="24" t="n"/>
      <c r="F22" s="24" t="n"/>
      <c r="G22" s="25" t="n"/>
      <c r="H22" s="25" t="n"/>
      <c r="I22" s="26" t="str">
        <f>IF(OR(G22="",H22=""),"",IF(G22&gt;=$G$3,IF(H22&gt;=$G$3,"Gerenciar de perto","Manter satisfeito"),IF(H22&gt;=$G$3,"Manter informado","Monitorar")))</f>
        <v/>
      </c>
      <c r="J22" s="25" t="n"/>
      <c r="K22" s="25" t="n"/>
      <c r="L22" s="26" t="str">
        <f>IF(OR(J22="",K22=""),"",IF(J22&gt;=$G$3,IF(K22&gt;=$G$3,"Gerenciar de perto","Manter satisfeito"),IF(K22&gt;=$G$3,"Manter informado","Monitorar")))</f>
        <v/>
      </c>
      <c r="M22" s="24" t="n"/>
      <c r="N22" s="24" t="n"/>
      <c r="O22" s="24" t="n"/>
      <c r="P22" s="24" t="n"/>
    </row>
    <row r="23">
      <c r="A23" s="23" t="str">
        <f>IF(B23="","",COUNTA($B$6:B23))</f>
        <v/>
      </c>
      <c r="B23" s="24" t="n"/>
      <c r="C23" s="24" t="n"/>
      <c r="D23" s="24" t="n"/>
      <c r="E23" s="24" t="n"/>
      <c r="F23" s="24" t="n"/>
      <c r="G23" s="25" t="n"/>
      <c r="H23" s="25" t="n"/>
      <c r="I23" s="26" t="str">
        <f>IF(OR(G23="",H23=""),"",IF(G23&gt;=$G$3,IF(H23&gt;=$G$3,"Gerenciar de perto","Manter satisfeito"),IF(H23&gt;=$G$3,"Manter informado","Monitorar")))</f>
        <v/>
      </c>
      <c r="J23" s="25" t="n"/>
      <c r="K23" s="25" t="n"/>
      <c r="L23" s="26" t="str">
        <f>IF(OR(J23="",K23=""),"",IF(J23&gt;=$G$3,IF(K23&gt;=$G$3,"Gerenciar de perto","Manter satisfeito"),IF(K23&gt;=$G$3,"Manter informado","Monitorar")))</f>
        <v/>
      </c>
      <c r="M23" s="24" t="n"/>
      <c r="N23" s="24" t="n"/>
      <c r="O23" s="24" t="n"/>
      <c r="P23" s="24" t="n"/>
    </row>
    <row r="24">
      <c r="A24" s="23" t="str">
        <f>IF(B24="","",COUNTA($B$6:B24))</f>
        <v/>
      </c>
      <c r="B24" s="24" t="n"/>
      <c r="C24" s="24" t="n"/>
      <c r="D24" s="24" t="n"/>
      <c r="E24" s="24" t="n"/>
      <c r="F24" s="24" t="n"/>
      <c r="G24" s="25" t="n"/>
      <c r="H24" s="25" t="n"/>
      <c r="I24" s="26" t="str">
        <f>IF(OR(G24="",H24=""),"",IF(G24&gt;=$G$3,IF(H24&gt;=$G$3,"Gerenciar de perto","Manter satisfeito"),IF(H24&gt;=$G$3,"Manter informado","Monitorar")))</f>
        <v/>
      </c>
      <c r="J24" s="25" t="n"/>
      <c r="K24" s="25" t="n"/>
      <c r="L24" s="26" t="str">
        <f>IF(OR(J24="",K24=""),"",IF(J24&gt;=$G$3,IF(K24&gt;=$G$3,"Gerenciar de perto","Manter satisfeito"),IF(K24&gt;=$G$3,"Manter informado","Monitorar")))</f>
        <v/>
      </c>
      <c r="M24" s="24" t="n"/>
      <c r="N24" s="24" t="n"/>
      <c r="O24" s="24" t="n"/>
      <c r="P24" s="24" t="n"/>
    </row>
    <row r="25">
      <c r="A25" s="23" t="str">
        <f>IF(B25="","",COUNTA($B$6:B25))</f>
        <v/>
      </c>
      <c r="B25" s="24" t="n"/>
      <c r="C25" s="24" t="n"/>
      <c r="D25" s="24" t="n"/>
      <c r="E25" s="24" t="n"/>
      <c r="F25" s="24" t="n"/>
      <c r="G25" s="25" t="n"/>
      <c r="H25" s="25" t="n"/>
      <c r="I25" s="26" t="str">
        <f>IF(OR(G25="",H25=""),"",IF(G25&gt;=$G$3,IF(H25&gt;=$G$3,"Gerenciar de perto","Manter satisfeito"),IF(H25&gt;=$G$3,"Manter informado","Monitorar")))</f>
        <v/>
      </c>
      <c r="J25" s="25" t="n"/>
      <c r="K25" s="25" t="n"/>
      <c r="L25" s="26" t="str">
        <f>IF(OR(J25="",K25=""),"",IF(J25&gt;=$G$3,IF(K25&gt;=$G$3,"Gerenciar de perto","Manter satisfeito"),IF(K25&gt;=$G$3,"Manter informado","Monitorar")))</f>
        <v/>
      </c>
      <c r="M25" s="24" t="n"/>
      <c r="N25" s="24" t="n"/>
      <c r="O25" s="24" t="n"/>
      <c r="P25" s="24" t="n"/>
    </row>
  </sheetData>
  <autoFilter ref="A5:P25"/>
  <mergeCells count="5">
    <mergeCell ref="M4:P4"/>
    <mergeCell ref="B3:F3"/>
    <mergeCell ref="G4:I4"/>
    <mergeCell ref="J4:L4"/>
    <mergeCell ref="A4:F4"/>
  </mergeCells>
  <conditionalFormatting sqref="I6:I25 L6:L25">
    <cfRule type="expression" priority="1" dxfId="0">
      <formula>I6="Gerenciar de perto"</formula>
    </cfRule>
    <cfRule type="expression" priority="2" dxfId="1">
      <formula>I6="Manter satisfeito"</formula>
    </cfRule>
    <cfRule type="expression" priority="3" dxfId="2">
      <formula>I6="Manter informado"</formula>
    </cfRule>
    <cfRule type="expression" priority="4" dxfId="3">
      <formula>I6="Monitorar"</formula>
    </cfRule>
  </conditionalFormatting>
  <dataValidations count="2">
    <dataValidation sqref="C6:C25" showDropDown="0" showInputMessage="0" showErrorMessage="0" allowBlank="1" type="list">
      <formula1>"Fundadores,Consultoria,Consumidor final,Cliente B2B,Fornecedor,Parceiro,Regulador,Influenciador,Investidor,Outro"</formula1>
    </dataValidation>
    <dataValidation sqref="G3 G6:H25 J6:K25" showDropDown="0" showInputMessage="0" showErrorMessage="1" allowBlank="1" errorTitle="Nota inválida" error="Use um número inteiro de 1 a 5." type="whole" operator="between">
      <formula1>1</formula1>
      <formula2>5</formula2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4" customWidth="1" min="8" max="8"/>
    <col width="4" customWidth="1" min="9" max="9"/>
    <col width="4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</cols>
  <sheetData>
    <row r="1">
      <c r="A1" s="16" t="inlineStr">
        <is>
          <t>Matriz de poder e interesse: AS IS e TO BE</t>
        </is>
      </c>
    </row>
    <row r="2">
      <c r="A2" s="17" t="inlineStr">
        <is>
          <t>Eixo Y: poder sobre o negócio. Eixo X: interesse no negócio. Montada automaticamente a partir da aba Stakeholders.</t>
        </is>
      </c>
      <c r="K2" s="27" t="inlineStr">
        <is>
          <t>Nota de corte em uso (aba Stakeholders)</t>
        </is>
      </c>
      <c r="O2" s="28">
        <f>Stakeholders!$G$3</f>
        <v>3</v>
      </c>
    </row>
    <row r="4" ht="26" customHeight="1">
      <c r="C4" s="29" t="inlineStr">
        <is>
          <t>AS IS: onde cada stakeholder está hoje</t>
        </is>
      </c>
      <c r="K4" s="29" t="inlineStr">
        <is>
          <t>TO BE: onde a WEEK precisa dele até o lançamento</t>
        </is>
      </c>
    </row>
    <row r="5" ht="62" customHeight="1">
      <c r="A5" s="30" t="inlineStr">
        <is>
          <t>PODER</t>
        </is>
      </c>
      <c r="B5" s="31" t="n">
        <v>5</v>
      </c>
      <c r="C5" s="32" t="str">
        <f t="array" ref="C5">_xlfn.TEXTJOIN(CHAR(10),TRUE,IF((Stakeholders!$G$6:$G$25=$B5)*(Stakeholders!$H$6:$H$25=C$10),Stakeholders!$B$6:$B$25,""))</f>
        <v>Fornecedor do sachê biodegradável
Anvisa e vigilância sanitária</v>
      </c>
      <c r="D5" s="32" t="str">
        <f t="array" ref="D5">_xlfn.TEXTJOIN(CHAR(10),TRUE,IF((Stakeholders!$G$6:$G$25=$B5)*(Stakeholders!$H$6:$H$25=D$10),Stakeholders!$B$6:$B$25,""))</f>
        <v/>
      </c>
      <c r="E5" s="32" t="str">
        <f t="array" ref="E5">_xlfn.TEXTJOIN(CHAR(10),TRUE,IF((Stakeholders!$G$6:$G$25=$B5)*(Stakeholders!$H$6:$H$25=E$10),Stakeholders!$B$6:$B$25,""))</f>
        <v/>
      </c>
      <c r="F5" s="32" t="str">
        <f t="array" ref="F5">_xlfn.TEXTJOIN(CHAR(10),TRUE,IF((Stakeholders!$G$6:$G$25=$B5)*(Stakeholders!$H$6:$H$25=F$10),Stakeholders!$B$6:$B$25,""))</f>
        <v>Farma Júnior</v>
      </c>
      <c r="G5" s="32" t="str">
        <f t="array" ref="G5">_xlfn.TEXTJOIN(CHAR(10),TRUE,IF((Stakeholders!$G$6:$G$25=$B5)*(Stakeholders!$H$6:$H$25=G$10),Stakeholders!$B$6:$B$25,""))</f>
        <v>Fundadores da WEEK</v>
      </c>
      <c r="I5" s="30" t="inlineStr">
        <is>
          <t>PODER</t>
        </is>
      </c>
      <c r="J5" s="31" t="n">
        <v>5</v>
      </c>
      <c r="K5" s="32" t="str">
        <f t="array" ref="K5">_xlfn.TEXTJOIN(CHAR(10),TRUE,IF((Stakeholders!$J$6:$J$25=$J5)*(Stakeholders!$K$6:$K$25=K$10),Stakeholders!$B$6:$B$25,""))</f>
        <v/>
      </c>
      <c r="L5" s="32" t="str">
        <f t="array" ref="L5">_xlfn.TEXTJOIN(CHAR(10),TRUE,IF((Stakeholders!$J$6:$J$25=$J5)*(Stakeholders!$K$6:$K$25=L$10),Stakeholders!$B$6:$B$25,""))</f>
        <v>Anvisa e vigilância sanitária</v>
      </c>
      <c r="M5" s="32" t="str">
        <f t="array" ref="M5">_xlfn.TEXTJOIN(CHAR(10),TRUE,IF((Stakeholders!$J$6:$J$25=$J5)*(Stakeholders!$K$6:$K$25=M$10),Stakeholders!$B$6:$B$25,""))</f>
        <v/>
      </c>
      <c r="N5" s="32" t="str">
        <f t="array" ref="N5">_xlfn.TEXTJOIN(CHAR(10),TRUE,IF((Stakeholders!$J$6:$J$25=$J5)*(Stakeholders!$K$6:$K$25=N$10),Stakeholders!$B$6:$B$25,""))</f>
        <v>Fornecedor do sachê biodegradável</v>
      </c>
      <c r="O5" s="32" t="str">
        <f t="array" ref="O5">_xlfn.TEXTJOIN(CHAR(10),TRUE,IF((Stakeholders!$J$6:$J$25=$J5)*(Stakeholders!$K$6:$K$25=O$10),Stakeholders!$B$6:$B$25,""))</f>
        <v>Fundadores da WEEK
Farma Júnior</v>
      </c>
    </row>
    <row r="6" ht="62" customHeight="1">
      <c r="B6" s="31" t="n">
        <v>4</v>
      </c>
      <c r="C6" s="32" t="str">
        <f t="array" ref="C6">_xlfn.TEXTJOIN(CHAR(10),TRUE,IF((Stakeholders!$G$6:$G$25=$B6)*(Stakeholders!$H$6:$H$25=C$10),Stakeholders!$B$6:$B$25,""))</f>
        <v>Fabricante terceirizado
INPI
Consumidor final</v>
      </c>
      <c r="D6" s="32" t="str">
        <f t="array" ref="D6">_xlfn.TEXTJOIN(CHAR(10),TRUE,IF((Stakeholders!$G$6:$G$25=$B6)*(Stakeholders!$H$6:$H$25=D$10),Stakeholders!$B$6:$B$25,""))</f>
        <v/>
      </c>
      <c r="E6" s="32" t="str">
        <f t="array" ref="E6">_xlfn.TEXTJOIN(CHAR(10),TRUE,IF((Stakeholders!$G$6:$G$25=$B6)*(Stakeholders!$H$6:$H$25=E$10),Stakeholders!$B$6:$B$25,""))</f>
        <v/>
      </c>
      <c r="F6" s="32" t="str">
        <f t="array" ref="F6">_xlfn.TEXTJOIN(CHAR(10),TRUE,IF((Stakeholders!$G$6:$G$25=$B6)*(Stakeholders!$H$6:$H$25=F$10),Stakeholders!$B$6:$B$25,""))</f>
        <v/>
      </c>
      <c r="G6" s="32" t="str">
        <f t="array" ref="G6">_xlfn.TEXTJOIN(CHAR(10),TRUE,IF((Stakeholders!$G$6:$G$25=$B6)*(Stakeholders!$H$6:$H$25=G$10),Stakeholders!$B$6:$B$25,""))</f>
        <v/>
      </c>
      <c r="J6" s="31" t="n">
        <v>4</v>
      </c>
      <c r="K6" s="32" t="str">
        <f t="array" ref="K6">_xlfn.TEXTJOIN(CHAR(10),TRUE,IF((Stakeholders!$J$6:$J$25=$J6)*(Stakeholders!$K$6:$K$25=K$10),Stakeholders!$B$6:$B$25,""))</f>
        <v/>
      </c>
      <c r="L6" s="32" t="str">
        <f t="array" ref="L6">_xlfn.TEXTJOIN(CHAR(10),TRUE,IF((Stakeholders!$J$6:$J$25=$J6)*(Stakeholders!$K$6:$K$25=L$10),Stakeholders!$B$6:$B$25,""))</f>
        <v>INPI</v>
      </c>
      <c r="M6" s="32" t="str">
        <f t="array" ref="M6">_xlfn.TEXTJOIN(CHAR(10),TRUE,IF((Stakeholders!$J$6:$J$25=$J6)*(Stakeholders!$K$6:$K$25=M$10),Stakeholders!$B$6:$B$25,""))</f>
        <v/>
      </c>
      <c r="N6" s="32" t="str">
        <f t="array" ref="N6">_xlfn.TEXTJOIN(CHAR(10),TRUE,IF((Stakeholders!$J$6:$J$25=$J6)*(Stakeholders!$K$6:$K$25=N$10),Stakeholders!$B$6:$B$25,""))</f>
        <v>Fabricante terceirizado
Consumidor final</v>
      </c>
      <c r="O6" s="32" t="str">
        <f t="array" ref="O6">_xlfn.TEXTJOIN(CHAR(10),TRUE,IF((Stakeholders!$J$6:$J$25=$J6)*(Stakeholders!$K$6:$K$25=O$10),Stakeholders!$B$6:$B$25,""))</f>
        <v>Esag Jr.</v>
      </c>
    </row>
    <row r="7" ht="62" customHeight="1">
      <c r="B7" s="31" t="n">
        <v>3</v>
      </c>
      <c r="C7" s="32" t="str">
        <f t="array" ref="C7">_xlfn.TEXTJOIN(CHAR(10),TRUE,IF((Stakeholders!$G$6:$G$25=$B7)*(Stakeholders!$H$6:$H$25=C$10),Stakeholders!$B$6:$B$25,""))</f>
        <v/>
      </c>
      <c r="D7" s="32" t="str">
        <f t="array" ref="D7">_xlfn.TEXTJOIN(CHAR(10),TRUE,IF((Stakeholders!$G$6:$G$25=$B7)*(Stakeholders!$H$6:$H$25=D$10),Stakeholders!$B$6:$B$25,""))</f>
        <v/>
      </c>
      <c r="E7" s="32" t="str">
        <f t="array" ref="E7">_xlfn.TEXTJOIN(CHAR(10),TRUE,IF((Stakeholders!$G$6:$G$25=$B7)*(Stakeholders!$H$6:$H$25=E$10),Stakeholders!$B$6:$B$25,""))</f>
        <v/>
      </c>
      <c r="F7" s="32" t="str">
        <f t="array" ref="F7">_xlfn.TEXTJOIN(CHAR(10),TRUE,IF((Stakeholders!$G$6:$G$25=$B7)*(Stakeholders!$H$6:$H$25=F$10),Stakeholders!$B$6:$B$25,""))</f>
        <v/>
      </c>
      <c r="G7" s="32" t="str">
        <f t="array" ref="G7">_xlfn.TEXTJOIN(CHAR(10),TRUE,IF((Stakeholders!$G$6:$G$25=$B7)*(Stakeholders!$H$6:$H$25=G$10),Stakeholders!$B$6:$B$25,""))</f>
        <v>Esag Jr.</v>
      </c>
      <c r="J7" s="31" t="n">
        <v>3</v>
      </c>
      <c r="K7" s="32" t="str">
        <f t="array" ref="K7">_xlfn.TEXTJOIN(CHAR(10),TRUE,IF((Stakeholders!$J$6:$J$25=$J7)*(Stakeholders!$K$6:$K$25=K$10),Stakeholders!$B$6:$B$25,""))</f>
        <v/>
      </c>
      <c r="L7" s="32" t="str">
        <f t="array" ref="L7">_xlfn.TEXTJOIN(CHAR(10),TRUE,IF((Stakeholders!$J$6:$J$25=$J7)*(Stakeholders!$K$6:$K$25=L$10),Stakeholders!$B$6:$B$25,""))</f>
        <v/>
      </c>
      <c r="M7" s="32" t="str">
        <f t="array" ref="M7">_xlfn.TEXTJOIN(CHAR(10),TRUE,IF((Stakeholders!$J$6:$J$25=$J7)*(Stakeholders!$K$6:$K$25=M$10),Stakeholders!$B$6:$B$25,""))</f>
        <v/>
      </c>
      <c r="N7" s="32" t="str">
        <f t="array" ref="N7">_xlfn.TEXTJOIN(CHAR(10),TRUE,IF((Stakeholders!$J$6:$J$25=$J7)*(Stakeholders!$K$6:$K$25=N$10),Stakeholders!$B$6:$B$25,""))</f>
        <v>Influenciadores e eventos de bem-estar</v>
      </c>
      <c r="O7" s="32" t="str">
        <f t="array" ref="O7">_xlfn.TEXTJOIN(CHAR(10),TRUE,IF((Stakeholders!$J$6:$J$25=$J7)*(Stakeholders!$K$6:$K$25=O$10),Stakeholders!$B$6:$B$25,""))</f>
        <v/>
      </c>
    </row>
    <row r="8" ht="62" customHeight="1">
      <c r="B8" s="31" t="n">
        <v>2</v>
      </c>
      <c r="C8" s="32" t="str">
        <f t="array" ref="C8">_xlfn.TEXTJOIN(CHAR(10),TRUE,IF((Stakeholders!$G$6:$G$25=$B8)*(Stakeholders!$H$6:$H$25=C$10),Stakeholders!$B$6:$B$25,""))</f>
        <v>Academias e hotéis
Influenciadores e eventos de bem-estar</v>
      </c>
      <c r="D8" s="32" t="str">
        <f t="array" ref="D8">_xlfn.TEXTJOIN(CHAR(10),TRUE,IF((Stakeholders!$G$6:$G$25=$B8)*(Stakeholders!$H$6:$H$25=D$10),Stakeholders!$B$6:$B$25,""))</f>
        <v/>
      </c>
      <c r="E8" s="32" t="str">
        <f t="array" ref="E8">_xlfn.TEXTJOIN(CHAR(10),TRUE,IF((Stakeholders!$G$6:$G$25=$B8)*(Stakeholders!$H$6:$H$25=E$10),Stakeholders!$B$6:$B$25,""))</f>
        <v/>
      </c>
      <c r="F8" s="32" t="str">
        <f t="array" ref="F8">_xlfn.TEXTJOIN(CHAR(10),TRUE,IF((Stakeholders!$G$6:$G$25=$B8)*(Stakeholders!$H$6:$H$25=F$10),Stakeholders!$B$6:$B$25,""))</f>
        <v/>
      </c>
      <c r="G8" s="32" t="str">
        <f t="array" ref="G8">_xlfn.TEXTJOIN(CHAR(10),TRUE,IF((Stakeholders!$G$6:$G$25=$B8)*(Stakeholders!$H$6:$H$25=G$10),Stakeholders!$B$6:$B$25,""))</f>
        <v/>
      </c>
      <c r="J8" s="31" t="n">
        <v>2</v>
      </c>
      <c r="K8" s="32" t="str">
        <f t="array" ref="K8">_xlfn.TEXTJOIN(CHAR(10),TRUE,IF((Stakeholders!$J$6:$J$25=$J8)*(Stakeholders!$K$6:$K$25=K$10),Stakeholders!$B$6:$B$25,""))</f>
        <v/>
      </c>
      <c r="L8" s="32" t="str">
        <f t="array" ref="L8">_xlfn.TEXTJOIN(CHAR(10),TRUE,IF((Stakeholders!$J$6:$J$25=$J8)*(Stakeholders!$K$6:$K$25=L$10),Stakeholders!$B$6:$B$25,""))</f>
        <v/>
      </c>
      <c r="M8" s="32" t="str">
        <f t="array" ref="M8">_xlfn.TEXTJOIN(CHAR(10),TRUE,IF((Stakeholders!$J$6:$J$25=$J8)*(Stakeholders!$K$6:$K$25=M$10),Stakeholders!$B$6:$B$25,""))</f>
        <v>Academias e hotéis</v>
      </c>
      <c r="N8" s="32" t="str">
        <f t="array" ref="N8">_xlfn.TEXTJOIN(CHAR(10),TRUE,IF((Stakeholders!$J$6:$J$25=$J8)*(Stakeholders!$K$6:$K$25=N$10),Stakeholders!$B$6:$B$25,""))</f>
        <v/>
      </c>
      <c r="O8" s="32" t="str">
        <f t="array" ref="O8">_xlfn.TEXTJOIN(CHAR(10),TRUE,IF((Stakeholders!$J$6:$J$25=$J8)*(Stakeholders!$K$6:$K$25=O$10),Stakeholders!$B$6:$B$25,""))</f>
        <v/>
      </c>
    </row>
    <row r="9" ht="62" customHeight="1">
      <c r="B9" s="31" t="n">
        <v>1</v>
      </c>
      <c r="C9" s="32" t="str">
        <f t="array" ref="C9">_xlfn.TEXTJOIN(CHAR(10),TRUE,IF((Stakeholders!$G$6:$G$25=$B9)*(Stakeholders!$H$6:$H$25=C$10),Stakeholders!$B$6:$B$25,""))</f>
        <v/>
      </c>
      <c r="D9" s="32" t="str">
        <f t="array" ref="D9">_xlfn.TEXTJOIN(CHAR(10),TRUE,IF((Stakeholders!$G$6:$G$25=$B9)*(Stakeholders!$H$6:$H$25=D$10),Stakeholders!$B$6:$B$25,""))</f>
        <v/>
      </c>
      <c r="E9" s="32" t="str">
        <f t="array" ref="E9">_xlfn.TEXTJOIN(CHAR(10),TRUE,IF((Stakeholders!$G$6:$G$25=$B9)*(Stakeholders!$H$6:$H$25=E$10),Stakeholders!$B$6:$B$25,""))</f>
        <v/>
      </c>
      <c r="F9" s="32" t="str">
        <f t="array" ref="F9">_xlfn.TEXTJOIN(CHAR(10),TRUE,IF((Stakeholders!$G$6:$G$25=$B9)*(Stakeholders!$H$6:$H$25=F$10),Stakeholders!$B$6:$B$25,""))</f>
        <v/>
      </c>
      <c r="G9" s="32" t="str">
        <f t="array" ref="G9">_xlfn.TEXTJOIN(CHAR(10),TRUE,IF((Stakeholders!$G$6:$G$25=$B9)*(Stakeholders!$H$6:$H$25=G$10),Stakeholders!$B$6:$B$25,""))</f>
        <v/>
      </c>
      <c r="J9" s="31" t="n">
        <v>1</v>
      </c>
      <c r="K9" s="32" t="str">
        <f t="array" ref="K9">_xlfn.TEXTJOIN(CHAR(10),TRUE,IF((Stakeholders!$J$6:$J$25=$J9)*(Stakeholders!$K$6:$K$25=K$10),Stakeholders!$B$6:$B$25,""))</f>
        <v/>
      </c>
      <c r="L9" s="32" t="str">
        <f t="array" ref="L9">_xlfn.TEXTJOIN(CHAR(10),TRUE,IF((Stakeholders!$J$6:$J$25=$J9)*(Stakeholders!$K$6:$K$25=L$10),Stakeholders!$B$6:$B$25,""))</f>
        <v/>
      </c>
      <c r="M9" s="32" t="str">
        <f t="array" ref="M9">_xlfn.TEXTJOIN(CHAR(10),TRUE,IF((Stakeholders!$J$6:$J$25=$J9)*(Stakeholders!$K$6:$K$25=M$10),Stakeholders!$B$6:$B$25,""))</f>
        <v/>
      </c>
      <c r="N9" s="32" t="str">
        <f t="array" ref="N9">_xlfn.TEXTJOIN(CHAR(10),TRUE,IF((Stakeholders!$J$6:$J$25=$J9)*(Stakeholders!$K$6:$K$25=N$10),Stakeholders!$B$6:$B$25,""))</f>
        <v/>
      </c>
      <c r="O9" s="32" t="str">
        <f t="array" ref="O9">_xlfn.TEXTJOIN(CHAR(10),TRUE,IF((Stakeholders!$J$6:$J$25=$J9)*(Stakeholders!$K$6:$K$25=O$10),Stakeholders!$B$6:$B$25,""))</f>
        <v/>
      </c>
    </row>
    <row r="10">
      <c r="C10" s="33" t="n">
        <v>1</v>
      </c>
      <c r="D10" s="33" t="n">
        <v>2</v>
      </c>
      <c r="E10" s="33" t="n">
        <v>3</v>
      </c>
      <c r="F10" s="33" t="n">
        <v>4</v>
      </c>
      <c r="G10" s="33" t="n">
        <v>5</v>
      </c>
      <c r="K10" s="33" t="n">
        <v>1</v>
      </c>
      <c r="L10" s="33" t="n">
        <v>2</v>
      </c>
      <c r="M10" s="33" t="n">
        <v>3</v>
      </c>
      <c r="N10" s="33" t="n">
        <v>4</v>
      </c>
      <c r="O10" s="33" t="n">
        <v>5</v>
      </c>
    </row>
    <row r="11">
      <c r="C11" s="31" t="inlineStr">
        <is>
          <t>INTERESSE</t>
        </is>
      </c>
      <c r="K11" s="31" t="inlineStr">
        <is>
          <t>INTERESSE</t>
        </is>
      </c>
    </row>
    <row r="13">
      <c r="C13" s="34" t="inlineStr">
        <is>
          <t>Quadrante</t>
        </is>
      </c>
      <c r="E13" s="34" t="inlineStr">
        <is>
          <t>Como agir</t>
        </is>
      </c>
      <c r="K13" s="34" t="inlineStr">
        <is>
          <t>Total no AS IS</t>
        </is>
      </c>
      <c r="M13" s="34" t="inlineStr">
        <is>
          <t>Total no TO BE</t>
        </is>
      </c>
    </row>
    <row r="14" ht="30" customHeight="1">
      <c r="C14" s="9" t="inlineStr">
        <is>
          <t>Gerenciar de perto</t>
        </is>
      </c>
      <c r="D14" s="35" t="n"/>
      <c r="E14" s="36" t="inlineStr">
        <is>
          <t>Poder e interesse altos. Envolver nas decisões, com contato frequente e combinados claros.</t>
        </is>
      </c>
      <c r="F14" s="35" t="n"/>
      <c r="G14" s="35" t="n"/>
      <c r="K14" s="37">
        <f>COUNTIF(Stakeholders!$I$6:$I$25,C14)</f>
        <v>3</v>
      </c>
      <c r="L14" s="35" t="n"/>
      <c r="M14" s="37">
        <f>COUNTIF(Stakeholders!$L$6:$L$25,C14)</f>
        <v>7</v>
      </c>
      <c r="N14" s="35" t="n"/>
    </row>
    <row r="15" ht="30" customHeight="1">
      <c r="C15" s="12" t="inlineStr">
        <is>
          <t>Manter satisfeito</t>
        </is>
      </c>
      <c r="D15" s="35" t="n"/>
      <c r="E15" s="36" t="inlineStr">
        <is>
          <t>Poder alto e interesse baixo. Atender às exigências sem sobrecarregar com informação.</t>
        </is>
      </c>
      <c r="F15" s="35" t="n"/>
      <c r="G15" s="35" t="n"/>
      <c r="K15" s="37">
        <f>COUNTIF(Stakeholders!$I$6:$I$25,C15)</f>
        <v>5</v>
      </c>
      <c r="L15" s="35" t="n"/>
      <c r="M15" s="37">
        <f>COUNTIF(Stakeholders!$L$6:$L$25,C15)</f>
        <v>2</v>
      </c>
      <c r="N15" s="35" t="n"/>
    </row>
    <row r="16" ht="30" customHeight="1">
      <c r="C16" s="13" t="inlineStr">
        <is>
          <t>Manter informado</t>
        </is>
      </c>
      <c r="D16" s="35" t="n"/>
      <c r="E16" s="36" t="inlineStr">
        <is>
          <t>Poder baixo e interesse alto. Comunicar os avanços e ouvir sugestões.</t>
        </is>
      </c>
      <c r="F16" s="35" t="n"/>
      <c r="G16" s="35" t="n"/>
      <c r="K16" s="37">
        <f>COUNTIF(Stakeholders!$I$6:$I$25,C16)</f>
        <v>0</v>
      </c>
      <c r="L16" s="35" t="n"/>
      <c r="M16" s="37">
        <f>COUNTIF(Stakeholders!$L$6:$L$25,C16)</f>
        <v>1</v>
      </c>
      <c r="N16" s="35" t="n"/>
    </row>
    <row r="17" ht="30" customHeight="1">
      <c r="C17" s="14" t="inlineStr">
        <is>
          <t>Monitorar</t>
        </is>
      </c>
      <c r="D17" s="35" t="n"/>
      <c r="E17" s="36" t="inlineStr">
        <is>
          <t>Poder e interesse baixos. Acompanhar com pouco esforço e rever as notas se algo mudar.</t>
        </is>
      </c>
      <c r="F17" s="35" t="n"/>
      <c r="G17" s="35" t="n"/>
      <c r="K17" s="37">
        <f>COUNTIF(Stakeholders!$I$6:$I$25,C17)</f>
        <v>2</v>
      </c>
      <c r="L17" s="35" t="n"/>
      <c r="M17" s="37">
        <f>COUNTIF(Stakeholders!$L$6:$L$25,C17)</f>
        <v>0</v>
      </c>
      <c r="N17" s="35" t="n"/>
    </row>
    <row r="19">
      <c r="C19" s="3" t="inlineStr">
        <is>
          <t>O que a matriz mostra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 ht="30" customHeight="1">
      <c r="C20" s="38" t="inlineStr">
        <is>
          <t>1. Hoje só fundadores, Esag Jr. e Farma Júnior estão engajados. Fornecedor do sachê, fabricante e consumidor final têm poder alto e ainda não conhecem a WEEK.</t>
        </is>
      </c>
    </row>
    <row r="21" ht="30" customHeight="1">
      <c r="C21" s="38" t="inlineStr">
        <is>
          <t>2. Até o lançamento, esses três precisam chegar a Gerenciar de perto. A pesquisa de mercado (semanas 4 e 5) e o plano operacional (semanas 6 e 7) são os momentos para isso.</t>
        </is>
      </c>
    </row>
    <row r="22" ht="30" customHeight="1">
      <c r="C22" s="38" t="inlineStr">
        <is>
          <t>3. Academias e hotéis ficam em Manter informado: entram como piloto, e não como canal principal, porque as fábricas já atendem esse canal por menos de R$ 1 o sachê.</t>
        </is>
      </c>
    </row>
    <row r="23" ht="30" customHeight="1">
      <c r="C23" s="38" t="inlineStr">
        <is>
          <t>4. Anvisa e INPI mudam pouco de posição, mas são condição para vender. A regularização do produto e o registro da marca precisam começar antes do lançamento.</t>
        </is>
      </c>
    </row>
  </sheetData>
  <mergeCells count="32">
    <mergeCell ref="K16:L16"/>
    <mergeCell ref="I5:I9"/>
    <mergeCell ref="E13:G13"/>
    <mergeCell ref="A5:A9"/>
    <mergeCell ref="C15:D15"/>
    <mergeCell ref="C23:O23"/>
    <mergeCell ref="K15:L15"/>
    <mergeCell ref="C14:D14"/>
    <mergeCell ref="E15:G15"/>
    <mergeCell ref="C4:G4"/>
    <mergeCell ref="C19:O19"/>
    <mergeCell ref="C16:D16"/>
    <mergeCell ref="K11:O11"/>
    <mergeCell ref="M13:N13"/>
    <mergeCell ref="E16:G16"/>
    <mergeCell ref="M16:N16"/>
    <mergeCell ref="M15:N15"/>
    <mergeCell ref="C11:G11"/>
    <mergeCell ref="C20:O20"/>
    <mergeCell ref="K14:L14"/>
    <mergeCell ref="C17:D17"/>
    <mergeCell ref="K17:L17"/>
    <mergeCell ref="M17:N17"/>
    <mergeCell ref="C22:O22"/>
    <mergeCell ref="E14:G14"/>
    <mergeCell ref="M14:N14"/>
    <mergeCell ref="E17:G17"/>
    <mergeCell ref="C13:D13"/>
    <mergeCell ref="K2:N2"/>
    <mergeCell ref="C21:O21"/>
    <mergeCell ref="K13:L13"/>
    <mergeCell ref="K4:O4"/>
  </mergeCells>
  <conditionalFormatting sqref="C5:G9">
    <cfRule type="expression" priority="1" dxfId="0">
      <formula>AND($B5&gt;=$O$2,C$10&gt;=$O$2)</formula>
    </cfRule>
    <cfRule type="expression" priority="2" dxfId="1">
      <formula>AND($B5&gt;=$O$2,C$10&lt;$O$2)</formula>
    </cfRule>
    <cfRule type="expression" priority="3" dxfId="2">
      <formula>AND($B5&lt;$O$2,C$10&gt;=$O$2)</formula>
    </cfRule>
    <cfRule type="expression" priority="4" dxfId="3">
      <formula>AND($B5&lt;$O$2,C$10&lt;$O$2)</formula>
    </cfRule>
  </conditionalFormatting>
  <conditionalFormatting sqref="K5:O9">
    <cfRule type="expression" priority="5" dxfId="0">
      <formula>AND($J5&gt;=$O$2,K$10&gt;=$O$2)</formula>
    </cfRule>
    <cfRule type="expression" priority="6" dxfId="1">
      <formula>AND($J5&gt;=$O$2,K$10&lt;$O$2)</formula>
    </cfRule>
    <cfRule type="expression" priority="7" dxfId="2">
      <formula>AND($J5&lt;$O$2,K$10&gt;=$O$2)</formula>
    </cfRule>
    <cfRule type="expression" priority="8" dxfId="3">
      <formula>AND($J5&lt;$O$2,K$10&lt;$O$2)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2026-10-16T01:04:43Z</dcterms:created>
  <dcterms:modified xmlns:dcterms="http://purl.org/dc/terms/" xmlns:xsi="http://www.w3.org/2001/XMLSchema-instance" xsi:type="dcterms:W3CDTF">2026-10-16T01:04:43Z</dcterms:modified>
</cp:coreProperties>
</file>